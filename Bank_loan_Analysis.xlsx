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E:\Banke Analysis\"/>
    </mc:Choice>
  </mc:AlternateContent>
  <xr:revisionPtr revIDLastSave="0" documentId="13_ncr:1_{E8E1E4A6-99F1-45E7-9587-F35E1067DC5A}" xr6:coauthVersionLast="47" xr6:coauthVersionMax="47" xr10:uidLastSave="{00000000-0000-0000-0000-000000000000}"/>
  <bookViews>
    <workbookView xWindow="-108" yWindow="-108" windowWidth="23256" windowHeight="12456" firstSheet="3" activeTab="3" xr2:uid="{7E98F277-988C-4F24-A642-A88E6858BEF6}"/>
  </bookViews>
  <sheets>
    <sheet name="Clean_Data" sheetId="2" r:id="rId1"/>
    <sheet name="PivotTables" sheetId="1" r:id="rId2"/>
    <sheet name="Dashboard" sheetId="4" r:id="rId3"/>
    <sheet name="Sheet2" sheetId="5" r:id="rId4"/>
  </sheets>
  <definedNames>
    <definedName name="ExternalData_1" localSheetId="0" hidden="1">Clean_Data!$A$1:$P$1001</definedName>
    <definedName name="Slicer_Credit_History">#N/A</definedName>
    <definedName name="Slicer_Education">#N/A</definedName>
    <definedName name="Slicer_Gender">#N/A</definedName>
    <definedName name="Slicer_Loan_Status">#N/A</definedName>
    <definedName name="Slicer_Loan_Status1">#N/A</definedName>
    <definedName name="Slicer_Property_Area">#N/A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D8" i="4"/>
  <c r="G8" i="4"/>
  <c r="F3" i="4"/>
  <c r="C3" i="4"/>
  <c r="A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48D2F6-D263-4BD1-8A0F-23032BDF2CB2}" keepAlive="1" name="Query - Bank_Loan_Analysis_Dataset" description="Connection to the 'Bank_Loan_Analysis_Dataset' query in the workbook." type="5" refreshedVersion="8" background="1" saveData="1">
    <dbPr connection="Provider=Microsoft.Mashup.OleDb.1;Data Source=$Workbook$;Location=Bank_Loan_Analysis_Dataset;Extended Properties=&quot;&quot;" command="SELECT * FROM [Bank_Loan_Analysis_Dataset]"/>
  </connection>
</connections>
</file>

<file path=xl/sharedStrings.xml><?xml version="1.0" encoding="utf-8"?>
<sst xmlns="http://schemas.openxmlformats.org/spreadsheetml/2006/main" count="10074" uniqueCount="1054">
  <si>
    <t>Loan_ID</t>
  </si>
  <si>
    <t>Gender</t>
  </si>
  <si>
    <t>Married</t>
  </si>
  <si>
    <t>Dependents</t>
  </si>
  <si>
    <t>Education</t>
  </si>
  <si>
    <t>Self_Employed</t>
  </si>
  <si>
    <t>Applicant Income</t>
  </si>
  <si>
    <t>Co-applicant Income</t>
  </si>
  <si>
    <t>Loan Amount</t>
  </si>
  <si>
    <t>Loan_Amount_Term</t>
  </si>
  <si>
    <t>Credit_History</t>
  </si>
  <si>
    <t>Property_Area</t>
  </si>
  <si>
    <t>Loan_Status</t>
  </si>
  <si>
    <t>Total Income</t>
  </si>
  <si>
    <t>Income Group</t>
  </si>
  <si>
    <t>Risk Category</t>
  </si>
  <si>
    <t>LP100001</t>
  </si>
  <si>
    <t>Male</t>
  </si>
  <si>
    <t>Yes</t>
  </si>
  <si>
    <t>Graduate</t>
  </si>
  <si>
    <t>Urban</t>
  </si>
  <si>
    <t>Approved</t>
  </si>
  <si>
    <t>Medium</t>
  </si>
  <si>
    <t>Low Risk</t>
  </si>
  <si>
    <t>LP100002</t>
  </si>
  <si>
    <t>High</t>
  </si>
  <si>
    <t>LP100003</t>
  </si>
  <si>
    <t>No</t>
  </si>
  <si>
    <t>Not Graduate</t>
  </si>
  <si>
    <t>Semiurban</t>
  </si>
  <si>
    <t>LP100004</t>
  </si>
  <si>
    <t>Female</t>
  </si>
  <si>
    <t>High Risk</t>
  </si>
  <si>
    <t>LP100005</t>
  </si>
  <si>
    <t>Rural</t>
  </si>
  <si>
    <t>Low</t>
  </si>
  <si>
    <t>LP100006</t>
  </si>
  <si>
    <t>LP100007</t>
  </si>
  <si>
    <t>LP100008</t>
  </si>
  <si>
    <t>LP100009</t>
  </si>
  <si>
    <t>LP100010</t>
  </si>
  <si>
    <t>LP100011</t>
  </si>
  <si>
    <t>LP100012</t>
  </si>
  <si>
    <t>LP100013</t>
  </si>
  <si>
    <t>LP100014</t>
  </si>
  <si>
    <t>LP100015</t>
  </si>
  <si>
    <t>LP100016</t>
  </si>
  <si>
    <t>LP100017</t>
  </si>
  <si>
    <t>LP100018</t>
  </si>
  <si>
    <t>LP100019</t>
  </si>
  <si>
    <t>LP100020</t>
  </si>
  <si>
    <t>LP100021</t>
  </si>
  <si>
    <t>LP100022</t>
  </si>
  <si>
    <t>Rejected</t>
  </si>
  <si>
    <t>LP100023</t>
  </si>
  <si>
    <t>LP100024</t>
  </si>
  <si>
    <t>LP100025</t>
  </si>
  <si>
    <t>LP100026</t>
  </si>
  <si>
    <t>LP100027</t>
  </si>
  <si>
    <t>LP100028</t>
  </si>
  <si>
    <t>LP100029</t>
  </si>
  <si>
    <t>LP100030</t>
  </si>
  <si>
    <t>LP100031</t>
  </si>
  <si>
    <t>LP100032</t>
  </si>
  <si>
    <t>LP100033</t>
  </si>
  <si>
    <t>LP100034</t>
  </si>
  <si>
    <t>LP100035</t>
  </si>
  <si>
    <t>LP100036</t>
  </si>
  <si>
    <t>LP100037</t>
  </si>
  <si>
    <t>LP100038</t>
  </si>
  <si>
    <t>LP100039</t>
  </si>
  <si>
    <t>LP100040</t>
  </si>
  <si>
    <t>LP100041</t>
  </si>
  <si>
    <t>LP100042</t>
  </si>
  <si>
    <t>LP100043</t>
  </si>
  <si>
    <t>LP100044</t>
  </si>
  <si>
    <t>LP100045</t>
  </si>
  <si>
    <t>LP100046</t>
  </si>
  <si>
    <t>LP100047</t>
  </si>
  <si>
    <t>LP100048</t>
  </si>
  <si>
    <t>LP100049</t>
  </si>
  <si>
    <t>LP100050</t>
  </si>
  <si>
    <t>LP100051</t>
  </si>
  <si>
    <t>LP100052</t>
  </si>
  <si>
    <t>LP100053</t>
  </si>
  <si>
    <t>LP100054</t>
  </si>
  <si>
    <t>LP100055</t>
  </si>
  <si>
    <t>LP100056</t>
  </si>
  <si>
    <t>LP100057</t>
  </si>
  <si>
    <t>LP100058</t>
  </si>
  <si>
    <t>LP100059</t>
  </si>
  <si>
    <t>LP100060</t>
  </si>
  <si>
    <t>LP100061</t>
  </si>
  <si>
    <t>LP100062</t>
  </si>
  <si>
    <t>LP100063</t>
  </si>
  <si>
    <t>LP100064</t>
  </si>
  <si>
    <t>LP100065</t>
  </si>
  <si>
    <t>LP100066</t>
  </si>
  <si>
    <t>LP100067</t>
  </si>
  <si>
    <t>LP100068</t>
  </si>
  <si>
    <t>LP100069</t>
  </si>
  <si>
    <t>LP100070</t>
  </si>
  <si>
    <t>LP100071</t>
  </si>
  <si>
    <t>LP100072</t>
  </si>
  <si>
    <t>LP100073</t>
  </si>
  <si>
    <t>LP100074</t>
  </si>
  <si>
    <t>LP100075</t>
  </si>
  <si>
    <t>LP100076</t>
  </si>
  <si>
    <t>LP100077</t>
  </si>
  <si>
    <t>LP100078</t>
  </si>
  <si>
    <t>LP100079</t>
  </si>
  <si>
    <t>LP100080</t>
  </si>
  <si>
    <t>LP100081</t>
  </si>
  <si>
    <t>LP100082</t>
  </si>
  <si>
    <t>LP100083</t>
  </si>
  <si>
    <t>LP100084</t>
  </si>
  <si>
    <t>LP100085</t>
  </si>
  <si>
    <t>LP100086</t>
  </si>
  <si>
    <t>LP100087</t>
  </si>
  <si>
    <t>LP100088</t>
  </si>
  <si>
    <t>LP100089</t>
  </si>
  <si>
    <t>LP100090</t>
  </si>
  <si>
    <t>LP100091</t>
  </si>
  <si>
    <t>LP100092</t>
  </si>
  <si>
    <t>LP100093</t>
  </si>
  <si>
    <t>LP100094</t>
  </si>
  <si>
    <t>LP100095</t>
  </si>
  <si>
    <t>LP100096</t>
  </si>
  <si>
    <t>LP100097</t>
  </si>
  <si>
    <t>LP100098</t>
  </si>
  <si>
    <t>LP100099</t>
  </si>
  <si>
    <t>LP100100</t>
  </si>
  <si>
    <t>LP100101</t>
  </si>
  <si>
    <t>LP100102</t>
  </si>
  <si>
    <t>LP100103</t>
  </si>
  <si>
    <t>LP100104</t>
  </si>
  <si>
    <t>LP100105</t>
  </si>
  <si>
    <t>LP100106</t>
  </si>
  <si>
    <t>LP100107</t>
  </si>
  <si>
    <t>LP100108</t>
  </si>
  <si>
    <t>LP100109</t>
  </si>
  <si>
    <t>LP100110</t>
  </si>
  <si>
    <t>LP100111</t>
  </si>
  <si>
    <t>LP100112</t>
  </si>
  <si>
    <t>LP100113</t>
  </si>
  <si>
    <t>LP100114</t>
  </si>
  <si>
    <t>LP100115</t>
  </si>
  <si>
    <t>LP100116</t>
  </si>
  <si>
    <t>LP100117</t>
  </si>
  <si>
    <t>LP100118</t>
  </si>
  <si>
    <t>LP100119</t>
  </si>
  <si>
    <t>LP100120</t>
  </si>
  <si>
    <t>LP100121</t>
  </si>
  <si>
    <t>LP100122</t>
  </si>
  <si>
    <t>LP100123</t>
  </si>
  <si>
    <t>LP100124</t>
  </si>
  <si>
    <t>LP100125</t>
  </si>
  <si>
    <t>LP100126</t>
  </si>
  <si>
    <t>LP100127</t>
  </si>
  <si>
    <t>LP100128</t>
  </si>
  <si>
    <t>LP100129</t>
  </si>
  <si>
    <t>LP100130</t>
  </si>
  <si>
    <t>LP100131</t>
  </si>
  <si>
    <t>LP100132</t>
  </si>
  <si>
    <t>LP100133</t>
  </si>
  <si>
    <t>LP100134</t>
  </si>
  <si>
    <t>LP100135</t>
  </si>
  <si>
    <t>LP100136</t>
  </si>
  <si>
    <t>LP100137</t>
  </si>
  <si>
    <t>LP100138</t>
  </si>
  <si>
    <t>LP100139</t>
  </si>
  <si>
    <t>LP100140</t>
  </si>
  <si>
    <t>LP100141</t>
  </si>
  <si>
    <t>LP100142</t>
  </si>
  <si>
    <t>LP100143</t>
  </si>
  <si>
    <t>LP100144</t>
  </si>
  <si>
    <t>LP100145</t>
  </si>
  <si>
    <t>LP100146</t>
  </si>
  <si>
    <t>LP100147</t>
  </si>
  <si>
    <t>LP100148</t>
  </si>
  <si>
    <t>LP100149</t>
  </si>
  <si>
    <t>LP100150</t>
  </si>
  <si>
    <t>LP100151</t>
  </si>
  <si>
    <t>LP100152</t>
  </si>
  <si>
    <t>LP100153</t>
  </si>
  <si>
    <t>LP100154</t>
  </si>
  <si>
    <t>LP100155</t>
  </si>
  <si>
    <t>LP100156</t>
  </si>
  <si>
    <t>LP100157</t>
  </si>
  <si>
    <t>LP100158</t>
  </si>
  <si>
    <t>LP100159</t>
  </si>
  <si>
    <t>LP100160</t>
  </si>
  <si>
    <t>LP100161</t>
  </si>
  <si>
    <t>LP100162</t>
  </si>
  <si>
    <t>LP100163</t>
  </si>
  <si>
    <t>LP100164</t>
  </si>
  <si>
    <t>LP100165</t>
  </si>
  <si>
    <t>LP100166</t>
  </si>
  <si>
    <t>LP100167</t>
  </si>
  <si>
    <t>LP100168</t>
  </si>
  <si>
    <t>LP100169</t>
  </si>
  <si>
    <t>LP100170</t>
  </si>
  <si>
    <t>LP100171</t>
  </si>
  <si>
    <t>LP100172</t>
  </si>
  <si>
    <t>LP100173</t>
  </si>
  <si>
    <t>LP100174</t>
  </si>
  <si>
    <t>LP100175</t>
  </si>
  <si>
    <t>LP100176</t>
  </si>
  <si>
    <t>LP100177</t>
  </si>
  <si>
    <t>LP100178</t>
  </si>
  <si>
    <t>LP100179</t>
  </si>
  <si>
    <t>LP100180</t>
  </si>
  <si>
    <t>LP100181</t>
  </si>
  <si>
    <t>LP100182</t>
  </si>
  <si>
    <t>LP100183</t>
  </si>
  <si>
    <t>LP100184</t>
  </si>
  <si>
    <t>LP100185</t>
  </si>
  <si>
    <t>LP100186</t>
  </si>
  <si>
    <t>LP100187</t>
  </si>
  <si>
    <t>LP100188</t>
  </si>
  <si>
    <t>LP100189</t>
  </si>
  <si>
    <t>LP100190</t>
  </si>
  <si>
    <t>LP100191</t>
  </si>
  <si>
    <t>LP100192</t>
  </si>
  <si>
    <t>LP100193</t>
  </si>
  <si>
    <t>LP100194</t>
  </si>
  <si>
    <t>LP100195</t>
  </si>
  <si>
    <t>LP100196</t>
  </si>
  <si>
    <t>LP100197</t>
  </si>
  <si>
    <t>LP100198</t>
  </si>
  <si>
    <t>LP100199</t>
  </si>
  <si>
    <t>LP100200</t>
  </si>
  <si>
    <t>LP100201</t>
  </si>
  <si>
    <t>LP100202</t>
  </si>
  <si>
    <t>LP100203</t>
  </si>
  <si>
    <t>LP100204</t>
  </si>
  <si>
    <t>LP100205</t>
  </si>
  <si>
    <t>LP100206</t>
  </si>
  <si>
    <t>LP100207</t>
  </si>
  <si>
    <t>LP100208</t>
  </si>
  <si>
    <t>LP100209</t>
  </si>
  <si>
    <t>LP100210</t>
  </si>
  <si>
    <t>LP100211</t>
  </si>
  <si>
    <t>LP100212</t>
  </si>
  <si>
    <t>LP100213</t>
  </si>
  <si>
    <t>LP100214</t>
  </si>
  <si>
    <t>LP100215</t>
  </si>
  <si>
    <t>LP100216</t>
  </si>
  <si>
    <t>LP100217</t>
  </si>
  <si>
    <t>LP100218</t>
  </si>
  <si>
    <t>LP100219</t>
  </si>
  <si>
    <t>LP100220</t>
  </si>
  <si>
    <t>LP100221</t>
  </si>
  <si>
    <t>LP100222</t>
  </si>
  <si>
    <t>LP100223</t>
  </si>
  <si>
    <t>LP100224</t>
  </si>
  <si>
    <t>LP100225</t>
  </si>
  <si>
    <t>LP100226</t>
  </si>
  <si>
    <t>LP100227</t>
  </si>
  <si>
    <t>LP100228</t>
  </si>
  <si>
    <t>LP100229</t>
  </si>
  <si>
    <t>LP100230</t>
  </si>
  <si>
    <t>LP100231</t>
  </si>
  <si>
    <t>LP100232</t>
  </si>
  <si>
    <t>LP100233</t>
  </si>
  <si>
    <t>LP100234</t>
  </si>
  <si>
    <t>LP100235</t>
  </si>
  <si>
    <t>LP100236</t>
  </si>
  <si>
    <t>LP100237</t>
  </si>
  <si>
    <t>LP100238</t>
  </si>
  <si>
    <t>LP100239</t>
  </si>
  <si>
    <t>LP100240</t>
  </si>
  <si>
    <t>LP100241</t>
  </si>
  <si>
    <t>LP100242</t>
  </si>
  <si>
    <t>LP100243</t>
  </si>
  <si>
    <t>LP100244</t>
  </si>
  <si>
    <t>LP100245</t>
  </si>
  <si>
    <t>LP100246</t>
  </si>
  <si>
    <t>LP100247</t>
  </si>
  <si>
    <t>LP100248</t>
  </si>
  <si>
    <t>LP100249</t>
  </si>
  <si>
    <t>LP100250</t>
  </si>
  <si>
    <t>LP100251</t>
  </si>
  <si>
    <t>LP100252</t>
  </si>
  <si>
    <t>LP100253</t>
  </si>
  <si>
    <t>LP100254</t>
  </si>
  <si>
    <t>LP100255</t>
  </si>
  <si>
    <t>LP100256</t>
  </si>
  <si>
    <t>LP100257</t>
  </si>
  <si>
    <t>LP100258</t>
  </si>
  <si>
    <t>LP100259</t>
  </si>
  <si>
    <t>LP100260</t>
  </si>
  <si>
    <t>LP100261</t>
  </si>
  <si>
    <t>LP100262</t>
  </si>
  <si>
    <t>LP100263</t>
  </si>
  <si>
    <t>LP100264</t>
  </si>
  <si>
    <t>LP100265</t>
  </si>
  <si>
    <t>LP100266</t>
  </si>
  <si>
    <t>LP100267</t>
  </si>
  <si>
    <t>LP100268</t>
  </si>
  <si>
    <t>LP100269</t>
  </si>
  <si>
    <t>LP100270</t>
  </si>
  <si>
    <t>LP100271</t>
  </si>
  <si>
    <t>LP100272</t>
  </si>
  <si>
    <t>LP100273</t>
  </si>
  <si>
    <t>LP100274</t>
  </si>
  <si>
    <t>LP100275</t>
  </si>
  <si>
    <t>LP100276</t>
  </si>
  <si>
    <t>LP100277</t>
  </si>
  <si>
    <t>LP100278</t>
  </si>
  <si>
    <t>LP100279</t>
  </si>
  <si>
    <t>LP100280</t>
  </si>
  <si>
    <t>LP100281</t>
  </si>
  <si>
    <t>LP100282</t>
  </si>
  <si>
    <t>LP100283</t>
  </si>
  <si>
    <t>LP100284</t>
  </si>
  <si>
    <t>LP100285</t>
  </si>
  <si>
    <t>LP100286</t>
  </si>
  <si>
    <t>LP100287</t>
  </si>
  <si>
    <t>LP100288</t>
  </si>
  <si>
    <t>LP100289</t>
  </si>
  <si>
    <t>LP100290</t>
  </si>
  <si>
    <t>LP100291</t>
  </si>
  <si>
    <t>LP100292</t>
  </si>
  <si>
    <t>LP100293</t>
  </si>
  <si>
    <t>LP100294</t>
  </si>
  <si>
    <t>LP100295</t>
  </si>
  <si>
    <t>LP100296</t>
  </si>
  <si>
    <t>LP100297</t>
  </si>
  <si>
    <t>LP100298</t>
  </si>
  <si>
    <t>LP100299</t>
  </si>
  <si>
    <t>LP100300</t>
  </si>
  <si>
    <t>LP100301</t>
  </si>
  <si>
    <t>LP100302</t>
  </si>
  <si>
    <t>LP100303</t>
  </si>
  <si>
    <t>LP100304</t>
  </si>
  <si>
    <t>LP100305</t>
  </si>
  <si>
    <t>LP100306</t>
  </si>
  <si>
    <t>LP100307</t>
  </si>
  <si>
    <t>LP100308</t>
  </si>
  <si>
    <t>LP100309</t>
  </si>
  <si>
    <t>LP100310</t>
  </si>
  <si>
    <t>LP100311</t>
  </si>
  <si>
    <t>LP100312</t>
  </si>
  <si>
    <t>LP100313</t>
  </si>
  <si>
    <t>LP100314</t>
  </si>
  <si>
    <t>LP100315</t>
  </si>
  <si>
    <t>LP100316</t>
  </si>
  <si>
    <t>LP100317</t>
  </si>
  <si>
    <t>LP100318</t>
  </si>
  <si>
    <t>LP100319</t>
  </si>
  <si>
    <t>LP100320</t>
  </si>
  <si>
    <t>LP100321</t>
  </si>
  <si>
    <t>LP100322</t>
  </si>
  <si>
    <t>LP100323</t>
  </si>
  <si>
    <t>LP100324</t>
  </si>
  <si>
    <t>LP100325</t>
  </si>
  <si>
    <t>LP100326</t>
  </si>
  <si>
    <t>LP100327</t>
  </si>
  <si>
    <t>LP100328</t>
  </si>
  <si>
    <t>LP100329</t>
  </si>
  <si>
    <t>LP100330</t>
  </si>
  <si>
    <t>LP100331</t>
  </si>
  <si>
    <t>LP100332</t>
  </si>
  <si>
    <t>LP100333</t>
  </si>
  <si>
    <t>LP100334</t>
  </si>
  <si>
    <t>LP100335</t>
  </si>
  <si>
    <t>LP100336</t>
  </si>
  <si>
    <t>LP100337</t>
  </si>
  <si>
    <t>LP100338</t>
  </si>
  <si>
    <t>LP100339</t>
  </si>
  <si>
    <t>LP100340</t>
  </si>
  <si>
    <t>LP100341</t>
  </si>
  <si>
    <t>LP100342</t>
  </si>
  <si>
    <t>LP100343</t>
  </si>
  <si>
    <t>LP100344</t>
  </si>
  <si>
    <t>LP100345</t>
  </si>
  <si>
    <t>LP100346</t>
  </si>
  <si>
    <t>LP100347</t>
  </si>
  <si>
    <t>LP100348</t>
  </si>
  <si>
    <t>LP100349</t>
  </si>
  <si>
    <t>LP100350</t>
  </si>
  <si>
    <t>LP100351</t>
  </si>
  <si>
    <t>LP100352</t>
  </si>
  <si>
    <t>LP100353</t>
  </si>
  <si>
    <t>LP100354</t>
  </si>
  <si>
    <t>LP100355</t>
  </si>
  <si>
    <t>LP100356</t>
  </si>
  <si>
    <t>LP100357</t>
  </si>
  <si>
    <t>LP100358</t>
  </si>
  <si>
    <t>LP100359</t>
  </si>
  <si>
    <t>LP100360</t>
  </si>
  <si>
    <t>LP100361</t>
  </si>
  <si>
    <t>LP100362</t>
  </si>
  <si>
    <t>LP100363</t>
  </si>
  <si>
    <t>LP100364</t>
  </si>
  <si>
    <t>LP100365</t>
  </si>
  <si>
    <t>LP100366</t>
  </si>
  <si>
    <t>LP100367</t>
  </si>
  <si>
    <t>LP100368</t>
  </si>
  <si>
    <t>LP100369</t>
  </si>
  <si>
    <t>LP100370</t>
  </si>
  <si>
    <t>LP100371</t>
  </si>
  <si>
    <t>LP100372</t>
  </si>
  <si>
    <t>LP100373</t>
  </si>
  <si>
    <t>LP100374</t>
  </si>
  <si>
    <t>LP100375</t>
  </si>
  <si>
    <t>LP100376</t>
  </si>
  <si>
    <t>LP100377</t>
  </si>
  <si>
    <t>LP100378</t>
  </si>
  <si>
    <t>LP100379</t>
  </si>
  <si>
    <t>LP100380</t>
  </si>
  <si>
    <t>LP100381</t>
  </si>
  <si>
    <t>LP100382</t>
  </si>
  <si>
    <t>LP100383</t>
  </si>
  <si>
    <t>LP100384</t>
  </si>
  <si>
    <t>LP100385</t>
  </si>
  <si>
    <t>LP100386</t>
  </si>
  <si>
    <t>LP100387</t>
  </si>
  <si>
    <t>LP100388</t>
  </si>
  <si>
    <t>LP100389</t>
  </si>
  <si>
    <t>LP100390</t>
  </si>
  <si>
    <t>LP100391</t>
  </si>
  <si>
    <t>LP100392</t>
  </si>
  <si>
    <t>LP100393</t>
  </si>
  <si>
    <t>LP100394</t>
  </si>
  <si>
    <t>LP100395</t>
  </si>
  <si>
    <t>LP100396</t>
  </si>
  <si>
    <t>LP100397</t>
  </si>
  <si>
    <t>LP100398</t>
  </si>
  <si>
    <t>LP100399</t>
  </si>
  <si>
    <t>LP100400</t>
  </si>
  <si>
    <t>LP100401</t>
  </si>
  <si>
    <t>LP100402</t>
  </si>
  <si>
    <t>LP100403</t>
  </si>
  <si>
    <t>LP100404</t>
  </si>
  <si>
    <t>LP100405</t>
  </si>
  <si>
    <t>LP100406</t>
  </si>
  <si>
    <t>LP100407</t>
  </si>
  <si>
    <t>LP100408</t>
  </si>
  <si>
    <t>LP100409</t>
  </si>
  <si>
    <t>LP100410</t>
  </si>
  <si>
    <t>LP100411</t>
  </si>
  <si>
    <t>LP100412</t>
  </si>
  <si>
    <t>LP100413</t>
  </si>
  <si>
    <t>LP100414</t>
  </si>
  <si>
    <t>LP100415</t>
  </si>
  <si>
    <t>LP100416</t>
  </si>
  <si>
    <t>LP100417</t>
  </si>
  <si>
    <t>LP100418</t>
  </si>
  <si>
    <t>LP100419</t>
  </si>
  <si>
    <t>LP100420</t>
  </si>
  <si>
    <t>LP100421</t>
  </si>
  <si>
    <t>LP100422</t>
  </si>
  <si>
    <t>LP100423</t>
  </si>
  <si>
    <t>LP100424</t>
  </si>
  <si>
    <t>LP100425</t>
  </si>
  <si>
    <t>LP100426</t>
  </si>
  <si>
    <t>LP100427</t>
  </si>
  <si>
    <t>LP100428</t>
  </si>
  <si>
    <t>LP100429</t>
  </si>
  <si>
    <t>LP100430</t>
  </si>
  <si>
    <t>LP100431</t>
  </si>
  <si>
    <t>LP100432</t>
  </si>
  <si>
    <t>LP100433</t>
  </si>
  <si>
    <t>LP100434</t>
  </si>
  <si>
    <t>LP100435</t>
  </si>
  <si>
    <t>LP100436</t>
  </si>
  <si>
    <t>LP100437</t>
  </si>
  <si>
    <t>LP100438</t>
  </si>
  <si>
    <t>LP100439</t>
  </si>
  <si>
    <t>LP100440</t>
  </si>
  <si>
    <t>LP100441</t>
  </si>
  <si>
    <t>LP100442</t>
  </si>
  <si>
    <t>LP100443</t>
  </si>
  <si>
    <t>LP100444</t>
  </si>
  <si>
    <t>LP100445</t>
  </si>
  <si>
    <t>LP100446</t>
  </si>
  <si>
    <t>LP100447</t>
  </si>
  <si>
    <t>LP100448</t>
  </si>
  <si>
    <t>LP100449</t>
  </si>
  <si>
    <t>LP100450</t>
  </si>
  <si>
    <t>LP100451</t>
  </si>
  <si>
    <t>LP100452</t>
  </si>
  <si>
    <t>LP100453</t>
  </si>
  <si>
    <t>LP100454</t>
  </si>
  <si>
    <t>LP100455</t>
  </si>
  <si>
    <t>LP100456</t>
  </si>
  <si>
    <t>LP100457</t>
  </si>
  <si>
    <t>LP100458</t>
  </si>
  <si>
    <t>LP100459</t>
  </si>
  <si>
    <t>LP100460</t>
  </si>
  <si>
    <t>LP100461</t>
  </si>
  <si>
    <t>LP100462</t>
  </si>
  <si>
    <t>LP100463</t>
  </si>
  <si>
    <t>LP100464</t>
  </si>
  <si>
    <t>LP100465</t>
  </si>
  <si>
    <t>LP100466</t>
  </si>
  <si>
    <t>LP100467</t>
  </si>
  <si>
    <t>LP100468</t>
  </si>
  <si>
    <t>LP100469</t>
  </si>
  <si>
    <t>LP100470</t>
  </si>
  <si>
    <t>LP100471</t>
  </si>
  <si>
    <t>LP100472</t>
  </si>
  <si>
    <t>LP100473</t>
  </si>
  <si>
    <t>LP100474</t>
  </si>
  <si>
    <t>LP100475</t>
  </si>
  <si>
    <t>LP100476</t>
  </si>
  <si>
    <t>LP100477</t>
  </si>
  <si>
    <t>LP100478</t>
  </si>
  <si>
    <t>LP100479</t>
  </si>
  <si>
    <t>LP100480</t>
  </si>
  <si>
    <t>LP100481</t>
  </si>
  <si>
    <t>LP100482</t>
  </si>
  <si>
    <t>LP100483</t>
  </si>
  <si>
    <t>LP100484</t>
  </si>
  <si>
    <t>LP100485</t>
  </si>
  <si>
    <t>LP100486</t>
  </si>
  <si>
    <t>LP100487</t>
  </si>
  <si>
    <t>LP100488</t>
  </si>
  <si>
    <t>LP100489</t>
  </si>
  <si>
    <t>LP100490</t>
  </si>
  <si>
    <t>LP100491</t>
  </si>
  <si>
    <t>LP100492</t>
  </si>
  <si>
    <t>LP100493</t>
  </si>
  <si>
    <t>LP100494</t>
  </si>
  <si>
    <t>LP100495</t>
  </si>
  <si>
    <t>LP100496</t>
  </si>
  <si>
    <t>LP100497</t>
  </si>
  <si>
    <t>LP100498</t>
  </si>
  <si>
    <t>LP100499</t>
  </si>
  <si>
    <t>LP100500</t>
  </si>
  <si>
    <t>LP100501</t>
  </si>
  <si>
    <t>LP100502</t>
  </si>
  <si>
    <t>LP100503</t>
  </si>
  <si>
    <t>LP100504</t>
  </si>
  <si>
    <t>LP100505</t>
  </si>
  <si>
    <t>LP100506</t>
  </si>
  <si>
    <t>LP100507</t>
  </si>
  <si>
    <t>LP100508</t>
  </si>
  <si>
    <t>LP100509</t>
  </si>
  <si>
    <t>LP100510</t>
  </si>
  <si>
    <t>LP100511</t>
  </si>
  <si>
    <t>LP100512</t>
  </si>
  <si>
    <t>LP100513</t>
  </si>
  <si>
    <t>LP100514</t>
  </si>
  <si>
    <t>LP100515</t>
  </si>
  <si>
    <t>LP100516</t>
  </si>
  <si>
    <t>LP100517</t>
  </si>
  <si>
    <t>LP100518</t>
  </si>
  <si>
    <t>LP100519</t>
  </si>
  <si>
    <t>LP100520</t>
  </si>
  <si>
    <t>LP100521</t>
  </si>
  <si>
    <t>LP100522</t>
  </si>
  <si>
    <t>LP100523</t>
  </si>
  <si>
    <t>LP100524</t>
  </si>
  <si>
    <t>LP100525</t>
  </si>
  <si>
    <t>LP100526</t>
  </si>
  <si>
    <t>LP100527</t>
  </si>
  <si>
    <t>LP100528</t>
  </si>
  <si>
    <t>LP100529</t>
  </si>
  <si>
    <t>LP100530</t>
  </si>
  <si>
    <t>LP100531</t>
  </si>
  <si>
    <t>LP100532</t>
  </si>
  <si>
    <t>LP100533</t>
  </si>
  <si>
    <t>LP100534</t>
  </si>
  <si>
    <t>LP100535</t>
  </si>
  <si>
    <t>LP100536</t>
  </si>
  <si>
    <t>LP100537</t>
  </si>
  <si>
    <t>LP100538</t>
  </si>
  <si>
    <t>LP100539</t>
  </si>
  <si>
    <t>LP100540</t>
  </si>
  <si>
    <t>LP100541</t>
  </si>
  <si>
    <t>LP100542</t>
  </si>
  <si>
    <t>LP100543</t>
  </si>
  <si>
    <t>LP100544</t>
  </si>
  <si>
    <t>LP100545</t>
  </si>
  <si>
    <t>LP100546</t>
  </si>
  <si>
    <t>LP100547</t>
  </si>
  <si>
    <t>LP100548</t>
  </si>
  <si>
    <t>LP100549</t>
  </si>
  <si>
    <t>LP100550</t>
  </si>
  <si>
    <t>LP100551</t>
  </si>
  <si>
    <t>LP100552</t>
  </si>
  <si>
    <t>LP100553</t>
  </si>
  <si>
    <t>LP100554</t>
  </si>
  <si>
    <t>LP100555</t>
  </si>
  <si>
    <t>LP100556</t>
  </si>
  <si>
    <t>LP100557</t>
  </si>
  <si>
    <t>LP100558</t>
  </si>
  <si>
    <t>LP100559</t>
  </si>
  <si>
    <t>LP100560</t>
  </si>
  <si>
    <t>LP100561</t>
  </si>
  <si>
    <t>LP100562</t>
  </si>
  <si>
    <t>LP100563</t>
  </si>
  <si>
    <t>LP100564</t>
  </si>
  <si>
    <t>LP100565</t>
  </si>
  <si>
    <t>LP100566</t>
  </si>
  <si>
    <t>LP100567</t>
  </si>
  <si>
    <t>LP100568</t>
  </si>
  <si>
    <t>LP100569</t>
  </si>
  <si>
    <t>LP100570</t>
  </si>
  <si>
    <t>LP100571</t>
  </si>
  <si>
    <t>LP100572</t>
  </si>
  <si>
    <t>LP100573</t>
  </si>
  <si>
    <t>LP100574</t>
  </si>
  <si>
    <t>LP100575</t>
  </si>
  <si>
    <t>LP100576</t>
  </si>
  <si>
    <t>LP100577</t>
  </si>
  <si>
    <t>LP100578</t>
  </si>
  <si>
    <t>LP100579</t>
  </si>
  <si>
    <t>LP100580</t>
  </si>
  <si>
    <t>LP100581</t>
  </si>
  <si>
    <t>LP100582</t>
  </si>
  <si>
    <t>LP100583</t>
  </si>
  <si>
    <t>LP100584</t>
  </si>
  <si>
    <t>LP100585</t>
  </si>
  <si>
    <t>LP100586</t>
  </si>
  <si>
    <t>LP100587</t>
  </si>
  <si>
    <t>LP100588</t>
  </si>
  <si>
    <t>LP100589</t>
  </si>
  <si>
    <t>LP100590</t>
  </si>
  <si>
    <t>LP100591</t>
  </si>
  <si>
    <t>LP100592</t>
  </si>
  <si>
    <t>LP100593</t>
  </si>
  <si>
    <t>LP100594</t>
  </si>
  <si>
    <t>LP100595</t>
  </si>
  <si>
    <t>LP100596</t>
  </si>
  <si>
    <t>LP100597</t>
  </si>
  <si>
    <t>LP100598</t>
  </si>
  <si>
    <t>LP100599</t>
  </si>
  <si>
    <t>LP100600</t>
  </si>
  <si>
    <t>LP100601</t>
  </si>
  <si>
    <t>LP100602</t>
  </si>
  <si>
    <t>LP100603</t>
  </si>
  <si>
    <t>LP100604</t>
  </si>
  <si>
    <t>LP100605</t>
  </si>
  <si>
    <t>LP100606</t>
  </si>
  <si>
    <t>LP100607</t>
  </si>
  <si>
    <t>LP100608</t>
  </si>
  <si>
    <t>LP100609</t>
  </si>
  <si>
    <t>LP100610</t>
  </si>
  <si>
    <t>LP100611</t>
  </si>
  <si>
    <t>LP100612</t>
  </si>
  <si>
    <t>LP100613</t>
  </si>
  <si>
    <t>LP100614</t>
  </si>
  <si>
    <t>LP100615</t>
  </si>
  <si>
    <t>LP100616</t>
  </si>
  <si>
    <t>LP100617</t>
  </si>
  <si>
    <t>LP100618</t>
  </si>
  <si>
    <t>LP100619</t>
  </si>
  <si>
    <t>LP100620</t>
  </si>
  <si>
    <t>LP100621</t>
  </si>
  <si>
    <t>LP100622</t>
  </si>
  <si>
    <t>LP100623</t>
  </si>
  <si>
    <t>LP100624</t>
  </si>
  <si>
    <t>LP100625</t>
  </si>
  <si>
    <t>LP100626</t>
  </si>
  <si>
    <t>LP100627</t>
  </si>
  <si>
    <t>LP100628</t>
  </si>
  <si>
    <t>LP100629</t>
  </si>
  <si>
    <t>LP100630</t>
  </si>
  <si>
    <t>LP100631</t>
  </si>
  <si>
    <t>LP100632</t>
  </si>
  <si>
    <t>LP100633</t>
  </si>
  <si>
    <t>LP100634</t>
  </si>
  <si>
    <t>LP100635</t>
  </si>
  <si>
    <t>LP100636</t>
  </si>
  <si>
    <t>LP100637</t>
  </si>
  <si>
    <t>LP100638</t>
  </si>
  <si>
    <t>LP100639</t>
  </si>
  <si>
    <t>LP100640</t>
  </si>
  <si>
    <t>LP100641</t>
  </si>
  <si>
    <t>LP100642</t>
  </si>
  <si>
    <t>LP100643</t>
  </si>
  <si>
    <t>LP100644</t>
  </si>
  <si>
    <t>LP100645</t>
  </si>
  <si>
    <t>LP100646</t>
  </si>
  <si>
    <t>LP100647</t>
  </si>
  <si>
    <t>LP100648</t>
  </si>
  <si>
    <t>LP100649</t>
  </si>
  <si>
    <t>LP100650</t>
  </si>
  <si>
    <t>LP100651</t>
  </si>
  <si>
    <t>LP100652</t>
  </si>
  <si>
    <t>LP100653</t>
  </si>
  <si>
    <t>LP100654</t>
  </si>
  <si>
    <t>LP100655</t>
  </si>
  <si>
    <t>LP100656</t>
  </si>
  <si>
    <t>LP100657</t>
  </si>
  <si>
    <t>LP100658</t>
  </si>
  <si>
    <t>LP100659</t>
  </si>
  <si>
    <t>LP100660</t>
  </si>
  <si>
    <t>LP100661</t>
  </si>
  <si>
    <t>LP100662</t>
  </si>
  <si>
    <t>LP100663</t>
  </si>
  <si>
    <t>LP100664</t>
  </si>
  <si>
    <t>LP100665</t>
  </si>
  <si>
    <t>LP100666</t>
  </si>
  <si>
    <t>LP100667</t>
  </si>
  <si>
    <t>LP100668</t>
  </si>
  <si>
    <t>LP100669</t>
  </si>
  <si>
    <t>LP100670</t>
  </si>
  <si>
    <t>LP100671</t>
  </si>
  <si>
    <t>LP100672</t>
  </si>
  <si>
    <t>LP100673</t>
  </si>
  <si>
    <t>LP100674</t>
  </si>
  <si>
    <t>LP100675</t>
  </si>
  <si>
    <t>LP100676</t>
  </si>
  <si>
    <t>LP100677</t>
  </si>
  <si>
    <t>LP100678</t>
  </si>
  <si>
    <t>LP100679</t>
  </si>
  <si>
    <t>LP100680</t>
  </si>
  <si>
    <t>LP100681</t>
  </si>
  <si>
    <t>LP100682</t>
  </si>
  <si>
    <t>LP100683</t>
  </si>
  <si>
    <t>LP100684</t>
  </si>
  <si>
    <t>LP100685</t>
  </si>
  <si>
    <t>LP100686</t>
  </si>
  <si>
    <t>LP100687</t>
  </si>
  <si>
    <t>LP100688</t>
  </si>
  <si>
    <t>LP100689</t>
  </si>
  <si>
    <t>LP100690</t>
  </si>
  <si>
    <t>LP100691</t>
  </si>
  <si>
    <t>LP100692</t>
  </si>
  <si>
    <t>LP100693</t>
  </si>
  <si>
    <t>LP100694</t>
  </si>
  <si>
    <t>LP100695</t>
  </si>
  <si>
    <t>LP100696</t>
  </si>
  <si>
    <t>LP100697</t>
  </si>
  <si>
    <t>LP100698</t>
  </si>
  <si>
    <t>LP100699</t>
  </si>
  <si>
    <t>LP100700</t>
  </si>
  <si>
    <t>LP100701</t>
  </si>
  <si>
    <t>LP100702</t>
  </si>
  <si>
    <t>LP100703</t>
  </si>
  <si>
    <t>LP100704</t>
  </si>
  <si>
    <t>LP100705</t>
  </si>
  <si>
    <t>LP100706</t>
  </si>
  <si>
    <t>LP100707</t>
  </si>
  <si>
    <t>LP100708</t>
  </si>
  <si>
    <t>LP100709</t>
  </si>
  <si>
    <t>LP100710</t>
  </si>
  <si>
    <t>LP100711</t>
  </si>
  <si>
    <t>LP100712</t>
  </si>
  <si>
    <t>LP100713</t>
  </si>
  <si>
    <t>LP100714</t>
  </si>
  <si>
    <t>LP100715</t>
  </si>
  <si>
    <t>LP100716</t>
  </si>
  <si>
    <t>LP100717</t>
  </si>
  <si>
    <t>LP100718</t>
  </si>
  <si>
    <t>LP100719</t>
  </si>
  <si>
    <t>LP100720</t>
  </si>
  <si>
    <t>LP100721</t>
  </si>
  <si>
    <t>LP100722</t>
  </si>
  <si>
    <t>LP100723</t>
  </si>
  <si>
    <t>LP100724</t>
  </si>
  <si>
    <t>LP100725</t>
  </si>
  <si>
    <t>LP100726</t>
  </si>
  <si>
    <t>LP100727</t>
  </si>
  <si>
    <t>LP100728</t>
  </si>
  <si>
    <t>LP100729</t>
  </si>
  <si>
    <t>LP100730</t>
  </si>
  <si>
    <t>LP100731</t>
  </si>
  <si>
    <t>LP100732</t>
  </si>
  <si>
    <t>LP100733</t>
  </si>
  <si>
    <t>LP100734</t>
  </si>
  <si>
    <t>LP100735</t>
  </si>
  <si>
    <t>LP100736</t>
  </si>
  <si>
    <t>LP100737</t>
  </si>
  <si>
    <t>LP100738</t>
  </si>
  <si>
    <t>LP100739</t>
  </si>
  <si>
    <t>LP100740</t>
  </si>
  <si>
    <t>LP100741</t>
  </si>
  <si>
    <t>LP100742</t>
  </si>
  <si>
    <t>LP100743</t>
  </si>
  <si>
    <t>LP100744</t>
  </si>
  <si>
    <t>LP100745</t>
  </si>
  <si>
    <t>LP100746</t>
  </si>
  <si>
    <t>LP100747</t>
  </si>
  <si>
    <t>LP100748</t>
  </si>
  <si>
    <t>LP100749</t>
  </si>
  <si>
    <t>LP100750</t>
  </si>
  <si>
    <t>LP100751</t>
  </si>
  <si>
    <t>LP100752</t>
  </si>
  <si>
    <t>LP100753</t>
  </si>
  <si>
    <t>LP100754</t>
  </si>
  <si>
    <t>LP100755</t>
  </si>
  <si>
    <t>LP100756</t>
  </si>
  <si>
    <t>LP100757</t>
  </si>
  <si>
    <t>LP100758</t>
  </si>
  <si>
    <t>LP100759</t>
  </si>
  <si>
    <t>LP100760</t>
  </si>
  <si>
    <t>LP100761</t>
  </si>
  <si>
    <t>LP100762</t>
  </si>
  <si>
    <t>LP100763</t>
  </si>
  <si>
    <t>LP100764</t>
  </si>
  <si>
    <t>LP100765</t>
  </si>
  <si>
    <t>LP100766</t>
  </si>
  <si>
    <t>LP100767</t>
  </si>
  <si>
    <t>LP100768</t>
  </si>
  <si>
    <t>LP100769</t>
  </si>
  <si>
    <t>LP100770</t>
  </si>
  <si>
    <t>LP100771</t>
  </si>
  <si>
    <t>LP100772</t>
  </si>
  <si>
    <t>LP100773</t>
  </si>
  <si>
    <t>LP100774</t>
  </si>
  <si>
    <t>LP100775</t>
  </si>
  <si>
    <t>LP100776</t>
  </si>
  <si>
    <t>LP100777</t>
  </si>
  <si>
    <t>LP100778</t>
  </si>
  <si>
    <t>LP100779</t>
  </si>
  <si>
    <t>LP100780</t>
  </si>
  <si>
    <t>LP100781</t>
  </si>
  <si>
    <t>LP100782</t>
  </si>
  <si>
    <t>LP100783</t>
  </si>
  <si>
    <t>LP100784</t>
  </si>
  <si>
    <t>LP100785</t>
  </si>
  <si>
    <t>LP100786</t>
  </si>
  <si>
    <t>LP100787</t>
  </si>
  <si>
    <t>LP100788</t>
  </si>
  <si>
    <t>LP100789</t>
  </si>
  <si>
    <t>LP100790</t>
  </si>
  <si>
    <t>LP100791</t>
  </si>
  <si>
    <t>LP100792</t>
  </si>
  <si>
    <t>LP100793</t>
  </si>
  <si>
    <t>LP100794</t>
  </si>
  <si>
    <t>LP100795</t>
  </si>
  <si>
    <t>LP100796</t>
  </si>
  <si>
    <t>LP100797</t>
  </si>
  <si>
    <t>LP100798</t>
  </si>
  <si>
    <t>LP100799</t>
  </si>
  <si>
    <t>LP100800</t>
  </si>
  <si>
    <t>LP100801</t>
  </si>
  <si>
    <t>LP100802</t>
  </si>
  <si>
    <t>LP100803</t>
  </si>
  <si>
    <t>LP100804</t>
  </si>
  <si>
    <t>LP100805</t>
  </si>
  <si>
    <t>LP100806</t>
  </si>
  <si>
    <t>LP100807</t>
  </si>
  <si>
    <t>LP100808</t>
  </si>
  <si>
    <t>LP100809</t>
  </si>
  <si>
    <t>LP100810</t>
  </si>
  <si>
    <t>LP100811</t>
  </si>
  <si>
    <t>LP100812</t>
  </si>
  <si>
    <t>LP100813</t>
  </si>
  <si>
    <t>LP100814</t>
  </si>
  <si>
    <t>LP100815</t>
  </si>
  <si>
    <t>LP100816</t>
  </si>
  <si>
    <t>LP100817</t>
  </si>
  <si>
    <t>LP100818</t>
  </si>
  <si>
    <t>LP100819</t>
  </si>
  <si>
    <t>LP100820</t>
  </si>
  <si>
    <t>LP100821</t>
  </si>
  <si>
    <t>LP100822</t>
  </si>
  <si>
    <t>LP100823</t>
  </si>
  <si>
    <t>LP100824</t>
  </si>
  <si>
    <t>LP100825</t>
  </si>
  <si>
    <t>LP100826</t>
  </si>
  <si>
    <t>LP100827</t>
  </si>
  <si>
    <t>LP100828</t>
  </si>
  <si>
    <t>LP100829</t>
  </si>
  <si>
    <t>LP100830</t>
  </si>
  <si>
    <t>LP100831</t>
  </si>
  <si>
    <t>LP100832</t>
  </si>
  <si>
    <t>LP100833</t>
  </si>
  <si>
    <t>LP100834</t>
  </si>
  <si>
    <t>LP100835</t>
  </si>
  <si>
    <t>LP100836</t>
  </si>
  <si>
    <t>LP100837</t>
  </si>
  <si>
    <t>LP100838</t>
  </si>
  <si>
    <t>LP100839</t>
  </si>
  <si>
    <t>LP100840</t>
  </si>
  <si>
    <t>LP100841</t>
  </si>
  <si>
    <t>LP100842</t>
  </si>
  <si>
    <t>LP100843</t>
  </si>
  <si>
    <t>LP100844</t>
  </si>
  <si>
    <t>LP100845</t>
  </si>
  <si>
    <t>LP100846</t>
  </si>
  <si>
    <t>LP100847</t>
  </si>
  <si>
    <t>LP100848</t>
  </si>
  <si>
    <t>LP100849</t>
  </si>
  <si>
    <t>LP100850</t>
  </si>
  <si>
    <t>LP100851</t>
  </si>
  <si>
    <t>LP100852</t>
  </si>
  <si>
    <t>LP100853</t>
  </si>
  <si>
    <t>LP100854</t>
  </si>
  <si>
    <t>LP100855</t>
  </si>
  <si>
    <t>LP100856</t>
  </si>
  <si>
    <t>LP100857</t>
  </si>
  <si>
    <t>LP100858</t>
  </si>
  <si>
    <t>LP100859</t>
  </si>
  <si>
    <t>LP100860</t>
  </si>
  <si>
    <t>LP100861</t>
  </si>
  <si>
    <t>LP100862</t>
  </si>
  <si>
    <t>LP100863</t>
  </si>
  <si>
    <t>LP100864</t>
  </si>
  <si>
    <t>LP100865</t>
  </si>
  <si>
    <t>LP100866</t>
  </si>
  <si>
    <t>LP100867</t>
  </si>
  <si>
    <t>LP100868</t>
  </si>
  <si>
    <t>LP100869</t>
  </si>
  <si>
    <t>LP100870</t>
  </si>
  <si>
    <t>LP100871</t>
  </si>
  <si>
    <t>LP100872</t>
  </si>
  <si>
    <t>LP100873</t>
  </si>
  <si>
    <t>LP100874</t>
  </si>
  <si>
    <t>LP100875</t>
  </si>
  <si>
    <t>LP100876</t>
  </si>
  <si>
    <t>LP100877</t>
  </si>
  <si>
    <t>LP100878</t>
  </si>
  <si>
    <t>LP100879</t>
  </si>
  <si>
    <t>LP100880</t>
  </si>
  <si>
    <t>LP100881</t>
  </si>
  <si>
    <t>LP100882</t>
  </si>
  <si>
    <t>LP100883</t>
  </si>
  <si>
    <t>LP100884</t>
  </si>
  <si>
    <t>LP100885</t>
  </si>
  <si>
    <t>LP100886</t>
  </si>
  <si>
    <t>LP100887</t>
  </si>
  <si>
    <t>LP100888</t>
  </si>
  <si>
    <t>LP100889</t>
  </si>
  <si>
    <t>LP100890</t>
  </si>
  <si>
    <t>LP100891</t>
  </si>
  <si>
    <t>LP100892</t>
  </si>
  <si>
    <t>LP100893</t>
  </si>
  <si>
    <t>LP100894</t>
  </si>
  <si>
    <t>LP100895</t>
  </si>
  <si>
    <t>LP100896</t>
  </si>
  <si>
    <t>LP100897</t>
  </si>
  <si>
    <t>LP100898</t>
  </si>
  <si>
    <t>LP100899</t>
  </si>
  <si>
    <t>LP100900</t>
  </si>
  <si>
    <t>LP100901</t>
  </si>
  <si>
    <t>LP100902</t>
  </si>
  <si>
    <t>LP100903</t>
  </si>
  <si>
    <t>LP100904</t>
  </si>
  <si>
    <t>LP100905</t>
  </si>
  <si>
    <t>LP100906</t>
  </si>
  <si>
    <t>LP100907</t>
  </si>
  <si>
    <t>LP100908</t>
  </si>
  <si>
    <t>LP100909</t>
  </si>
  <si>
    <t>LP100910</t>
  </si>
  <si>
    <t>LP100911</t>
  </si>
  <si>
    <t>LP100912</t>
  </si>
  <si>
    <t>LP100913</t>
  </si>
  <si>
    <t>LP100914</t>
  </si>
  <si>
    <t>LP100915</t>
  </si>
  <si>
    <t>LP100916</t>
  </si>
  <si>
    <t>LP100917</t>
  </si>
  <si>
    <t>LP100918</t>
  </si>
  <si>
    <t>LP100919</t>
  </si>
  <si>
    <t>LP100920</t>
  </si>
  <si>
    <t>LP100921</t>
  </si>
  <si>
    <t>LP100922</t>
  </si>
  <si>
    <t>LP100923</t>
  </si>
  <si>
    <t>LP100924</t>
  </si>
  <si>
    <t>LP100925</t>
  </si>
  <si>
    <t>LP100926</t>
  </si>
  <si>
    <t>LP100927</t>
  </si>
  <si>
    <t>LP100928</t>
  </si>
  <si>
    <t>LP100929</t>
  </si>
  <si>
    <t>LP100930</t>
  </si>
  <si>
    <t>LP100931</t>
  </si>
  <si>
    <t>LP100932</t>
  </si>
  <si>
    <t>LP100933</t>
  </si>
  <si>
    <t>LP100934</t>
  </si>
  <si>
    <t>LP100935</t>
  </si>
  <si>
    <t>LP100936</t>
  </si>
  <si>
    <t>LP100937</t>
  </si>
  <si>
    <t>LP100938</t>
  </si>
  <si>
    <t>LP100939</t>
  </si>
  <si>
    <t>LP100940</t>
  </si>
  <si>
    <t>LP100941</t>
  </si>
  <si>
    <t>LP100942</t>
  </si>
  <si>
    <t>LP100943</t>
  </si>
  <si>
    <t>LP100944</t>
  </si>
  <si>
    <t>LP100945</t>
  </si>
  <si>
    <t>LP100946</t>
  </si>
  <si>
    <t>LP100947</t>
  </si>
  <si>
    <t>LP100948</t>
  </si>
  <si>
    <t>LP100949</t>
  </si>
  <si>
    <t>LP100950</t>
  </si>
  <si>
    <t>LP100951</t>
  </si>
  <si>
    <t>LP100952</t>
  </si>
  <si>
    <t>LP100953</t>
  </si>
  <si>
    <t>LP100954</t>
  </si>
  <si>
    <t>LP100955</t>
  </si>
  <si>
    <t>LP100956</t>
  </si>
  <si>
    <t>LP100957</t>
  </si>
  <si>
    <t>LP100958</t>
  </si>
  <si>
    <t>LP100959</t>
  </si>
  <si>
    <t>LP100960</t>
  </si>
  <si>
    <t>LP100961</t>
  </si>
  <si>
    <t>LP100962</t>
  </si>
  <si>
    <t>LP100963</t>
  </si>
  <si>
    <t>LP100964</t>
  </si>
  <si>
    <t>LP100965</t>
  </si>
  <si>
    <t>LP100966</t>
  </si>
  <si>
    <t>LP100967</t>
  </si>
  <si>
    <t>LP100968</t>
  </si>
  <si>
    <t>LP100969</t>
  </si>
  <si>
    <t>LP100970</t>
  </si>
  <si>
    <t>LP100971</t>
  </si>
  <si>
    <t>LP100972</t>
  </si>
  <si>
    <t>LP100973</t>
  </si>
  <si>
    <t>LP100974</t>
  </si>
  <si>
    <t>LP100975</t>
  </si>
  <si>
    <t>LP100976</t>
  </si>
  <si>
    <t>LP100977</t>
  </si>
  <si>
    <t>LP100978</t>
  </si>
  <si>
    <t>LP100979</t>
  </si>
  <si>
    <t>LP100980</t>
  </si>
  <si>
    <t>LP100981</t>
  </si>
  <si>
    <t>LP100982</t>
  </si>
  <si>
    <t>LP100983</t>
  </si>
  <si>
    <t>LP100984</t>
  </si>
  <si>
    <t>LP100985</t>
  </si>
  <si>
    <t>LP100986</t>
  </si>
  <si>
    <t>LP100987</t>
  </si>
  <si>
    <t>LP100988</t>
  </si>
  <si>
    <t>LP100989</t>
  </si>
  <si>
    <t>LP100990</t>
  </si>
  <si>
    <t>LP100991</t>
  </si>
  <si>
    <t>LP100992</t>
  </si>
  <si>
    <t>LP100993</t>
  </si>
  <si>
    <t>LP100994</t>
  </si>
  <si>
    <t>LP100995</t>
  </si>
  <si>
    <t>LP100996</t>
  </si>
  <si>
    <t>LP100997</t>
  </si>
  <si>
    <t>LP100998</t>
  </si>
  <si>
    <t>LP100999</t>
  </si>
  <si>
    <t>LP101000</t>
  </si>
  <si>
    <t>2</t>
  </si>
  <si>
    <t>1</t>
  </si>
  <si>
    <t>0</t>
  </si>
  <si>
    <t>3</t>
  </si>
  <si>
    <t>Grand Total</t>
  </si>
  <si>
    <t>Count of Loan_ID</t>
  </si>
  <si>
    <t xml:space="preserve"> Loan Status</t>
  </si>
  <si>
    <t>PivotTable 1: Loan Status Summary</t>
  </si>
  <si>
    <t>Column Labels</t>
  </si>
  <si>
    <t xml:space="preserve"> Gender</t>
  </si>
  <si>
    <t>PivotTable 2: Loan Approval by Gender</t>
  </si>
  <si>
    <t>PivotTable 3: Loan Approval by Education</t>
  </si>
  <si>
    <t>Total Applications</t>
  </si>
  <si>
    <t>Approved Loans</t>
  </si>
  <si>
    <t>Rejected Loans</t>
  </si>
  <si>
    <t>Approval Rate.</t>
  </si>
  <si>
    <t>Total Loan Amount</t>
  </si>
  <si>
    <t>Average Loan Amount</t>
  </si>
  <si>
    <t>Sum of Loan Amount</t>
  </si>
  <si>
    <t>Credit History vs Loan Status</t>
  </si>
  <si>
    <t xml:space="preserve">Credit History </t>
  </si>
  <si>
    <t>Dependents vs Loan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</si>
</sst>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 fillId="2" borderId="1" xfId="0" applyFont="1" applyFill="1" applyBorder="1"/>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[working_bank.xlsx]PivotTables!PivotTable1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Status Distribution</a:t>
            </a:r>
          </a:p>
        </c:rich>
      </c:tx>
      <c:layout>
        <c:manualLayout>
          <c:xMode val="edge"/>
          <c:yMode val="edge"/>
          <c:x val="0.27424858193143448"/>
          <c:y val="9.82807473299246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PivotTables!$B$1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C9-44AB-9007-D487939BCAE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C9-44AB-9007-D487939BCAE9}"/>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PivotTables!$A$2:$A$4</c:f>
              <c:strCache>
                <c:ptCount val="2"/>
                <c:pt idx="0">
                  <c:v>Approved</c:v>
                </c:pt>
                <c:pt idx="1">
                  <c:v>Rejected</c:v>
                </c:pt>
              </c:strCache>
            </c:strRef>
          </c:cat>
          <c:val>
            <c:numRef>
              <c:f>PivotTables!$B$2:$B$4</c:f>
              <c:numCache>
                <c:formatCode>General</c:formatCode>
                <c:ptCount val="2"/>
                <c:pt idx="0">
                  <c:v>903</c:v>
                </c:pt>
                <c:pt idx="1">
                  <c:v>97</c:v>
                </c:pt>
              </c:numCache>
            </c:numRef>
          </c:val>
          <c:extLst>
            <c:ext xmlns:c16="http://schemas.microsoft.com/office/drawing/2014/chart" uri="{C3380CC4-5D6E-409C-BE32-E72D297353CC}">
              <c16:uniqueId val="{00000004-8BC9-44AB-9007-D487939BCAE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[working_bank.xlsx]PivotTables!PivotTable2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Approval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PivotTables!$B$8:$B$9</c:f>
              <c:strCache>
                <c:ptCount val="1"/>
                <c:pt idx="0">
                  <c:v>Approved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PivotTables!$A$10:$A$12</c:f>
              <c:strCache>
                <c:ptCount val="2"/>
                <c:pt idx="0">
                  <c:v>Female</c:v>
                </c:pt>
                <c:pt idx="1">
                  <c:v>Male</c:v>
                </c:pt>
              </c:strCache>
            </c:strRef>
          </c:cat>
          <c:val>
            <c:numRef>
              <c:f>PivotTables!$B$10:$B$12</c:f>
              <c:numCache>
                <c:formatCode>General</c:formatCode>
                <c:ptCount val="2"/>
                <c:pt idx="0">
                  <c:v>469</c:v>
                </c:pt>
                <c:pt idx="1">
                  <c:v>434</c:v>
                </c:pt>
              </c:numCache>
            </c:numRef>
          </c:val>
          <c:extLst>
            <c:ext xmlns:c16="http://schemas.microsoft.com/office/drawing/2014/chart" uri="{C3380CC4-5D6E-409C-BE32-E72D297353CC}">
              <c16:uniqueId val="{00000000-3D72-4695-8115-CD4FCAFFEDA3}"/>
            </c:ext>
          </c:extLst>
        </c:ser>
        <c:ser>
          <c:idx val="1"/>
          <c:order val="1"/>
          <c:tx>
            <c:strRef>
              <c:f>PivotTables!$C$8:$C$9</c:f>
              <c:strCache>
                <c:ptCount val="1"/>
                <c:pt idx="0">
                  <c:v>Rejected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PivotTables!$A$10:$A$12</c:f>
              <c:strCache>
                <c:ptCount val="2"/>
                <c:pt idx="0">
                  <c:v>Female</c:v>
                </c:pt>
                <c:pt idx="1">
                  <c:v>Male</c:v>
                </c:pt>
              </c:strCache>
            </c:strRef>
          </c:cat>
          <c:val>
            <c:numRef>
              <c:f>PivotTables!$C$10:$C$12</c:f>
              <c:numCache>
                <c:formatCode>General</c:formatCode>
                <c:ptCount val="2"/>
                <c:pt idx="0">
                  <c:v>53</c:v>
                </c:pt>
                <c:pt idx="1">
                  <c:v>44</c:v>
                </c:pt>
              </c:numCache>
            </c:numRef>
          </c:val>
          <c:extLst>
            <c:ext xmlns:c16="http://schemas.microsoft.com/office/drawing/2014/chart" uri="{C3380CC4-5D6E-409C-BE32-E72D297353CC}">
              <c16:uniqueId val="{00000001-3D72-4695-8115-CD4FCAFFEDA3}"/>
            </c:ext>
          </c:extLst>
        </c:ser>
        <c:dLbls>
          <c:dLblPos val="inEnd"/>
          <c:showLegendKey val="0"/>
          <c:showVal val="1"/>
          <c:showCatName val="0"/>
          <c:showSerName val="0"/>
          <c:showPercent val="0"/>
          <c:showBubbleSize val="0"/>
        </c:dLbls>
        <c:gapWidth val="65"/>
        <c:axId val="1572172575"/>
        <c:axId val="1406795983"/>
      </c:barChart>
      <c:catAx>
        <c:axId val="1572172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6795983"/>
        <c:crosses val="autoZero"/>
        <c:auto val="1"/>
        <c:lblAlgn val="ctr"/>
        <c:lblOffset val="100"/>
        <c:noMultiLvlLbl val="0"/>
      </c:catAx>
      <c:valAx>
        <c:axId val="14067959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Loan Applications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72172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[working_bank.xlsx]PivotTables!PivotTable3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Approval by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PivotTables!$B$17:$B$18</c:f>
              <c:strCache>
                <c:ptCount val="1"/>
                <c:pt idx="0">
                  <c:v>Approved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PivotTables!$A$19:$A$21</c:f>
              <c:strCache>
                <c:ptCount val="2"/>
                <c:pt idx="0">
                  <c:v>Graduate</c:v>
                </c:pt>
                <c:pt idx="1">
                  <c:v>Not Graduate</c:v>
                </c:pt>
              </c:strCache>
            </c:strRef>
          </c:cat>
          <c:val>
            <c:numRef>
              <c:f>PivotTables!$B$19:$B$21</c:f>
              <c:numCache>
                <c:formatCode>General</c:formatCode>
                <c:ptCount val="2"/>
                <c:pt idx="0">
                  <c:v>473</c:v>
                </c:pt>
                <c:pt idx="1">
                  <c:v>430</c:v>
                </c:pt>
              </c:numCache>
            </c:numRef>
          </c:val>
          <c:extLst>
            <c:ext xmlns:c16="http://schemas.microsoft.com/office/drawing/2014/chart" uri="{C3380CC4-5D6E-409C-BE32-E72D297353CC}">
              <c16:uniqueId val="{00000000-74D0-4034-AC32-6A42CD355CDE}"/>
            </c:ext>
          </c:extLst>
        </c:ser>
        <c:ser>
          <c:idx val="1"/>
          <c:order val="1"/>
          <c:tx>
            <c:strRef>
              <c:f>PivotTables!$C$17:$C$18</c:f>
              <c:strCache>
                <c:ptCount val="1"/>
                <c:pt idx="0">
                  <c:v>Rejected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PivotTables!$A$19:$A$21</c:f>
              <c:strCache>
                <c:ptCount val="2"/>
                <c:pt idx="0">
                  <c:v>Graduate</c:v>
                </c:pt>
                <c:pt idx="1">
                  <c:v>Not Graduate</c:v>
                </c:pt>
              </c:strCache>
            </c:strRef>
          </c:cat>
          <c:val>
            <c:numRef>
              <c:f>PivotTables!$C$19:$C$21</c:f>
              <c:numCache>
                <c:formatCode>General</c:formatCode>
                <c:ptCount val="2"/>
                <c:pt idx="0">
                  <c:v>43</c:v>
                </c:pt>
                <c:pt idx="1">
                  <c:v>54</c:v>
                </c:pt>
              </c:numCache>
            </c:numRef>
          </c:val>
          <c:extLst>
            <c:ext xmlns:c16="http://schemas.microsoft.com/office/drawing/2014/chart" uri="{C3380CC4-5D6E-409C-BE32-E72D297353CC}">
              <c16:uniqueId val="{00000001-74D0-4034-AC32-6A42CD355CDE}"/>
            </c:ext>
          </c:extLst>
        </c:ser>
        <c:dLbls>
          <c:dLblPos val="inEnd"/>
          <c:showLegendKey val="0"/>
          <c:showVal val="1"/>
          <c:showCatName val="0"/>
          <c:showSerName val="0"/>
          <c:showPercent val="0"/>
          <c:showBubbleSize val="0"/>
        </c:dLbls>
        <c:gapWidth val="65"/>
        <c:axId val="1573782703"/>
        <c:axId val="1406793103"/>
      </c:barChart>
      <c:catAx>
        <c:axId val="15737827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Education Level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6793103"/>
        <c:crosses val="autoZero"/>
        <c:auto val="1"/>
        <c:lblAlgn val="ctr"/>
        <c:lblOffset val="100"/>
        <c:noMultiLvlLbl val="0"/>
      </c:catAx>
      <c:valAx>
        <c:axId val="1406793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Loan Applications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737827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[working_bank.xlsx]PivotTables!PivotTable4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Amount by Property Area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PivotTables!$J$5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PivotTables!$I$6:$I$9</c:f>
              <c:strCache>
                <c:ptCount val="3"/>
                <c:pt idx="0">
                  <c:v>Rural</c:v>
                </c:pt>
                <c:pt idx="1">
                  <c:v>Semiurban</c:v>
                </c:pt>
                <c:pt idx="2">
                  <c:v>Urban</c:v>
                </c:pt>
              </c:strCache>
            </c:strRef>
          </c:cat>
          <c:val>
            <c:numRef>
              <c:f>PivotTables!$J$6:$J$9</c:f>
              <c:numCache>
                <c:formatCode>General</c:formatCode>
                <c:ptCount val="3"/>
                <c:pt idx="0">
                  <c:v>129641</c:v>
                </c:pt>
                <c:pt idx="1">
                  <c:v>127117</c:v>
                </c:pt>
                <c:pt idx="2">
                  <c:v>123097</c:v>
                </c:pt>
              </c:numCache>
            </c:numRef>
          </c:val>
          <c:extLst>
            <c:ext xmlns:c16="http://schemas.microsoft.com/office/drawing/2014/chart" uri="{C3380CC4-5D6E-409C-BE32-E72D297353CC}">
              <c16:uniqueId val="{00000000-FAA3-4419-A48B-6F6623314B6A}"/>
            </c:ext>
          </c:extLst>
        </c:ser>
        <c:dLbls>
          <c:dLblPos val="inEnd"/>
          <c:showLegendKey val="0"/>
          <c:showVal val="1"/>
          <c:showCatName val="0"/>
          <c:showSerName val="0"/>
          <c:showPercent val="0"/>
          <c:showBubbleSize val="0"/>
        </c:dLbls>
        <c:gapWidth val="65"/>
        <c:axId val="729945359"/>
        <c:axId val="665670767"/>
      </c:barChart>
      <c:catAx>
        <c:axId val="7299453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Property Area</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5670767"/>
        <c:crosses val="autoZero"/>
        <c:auto val="1"/>
        <c:lblAlgn val="ctr"/>
        <c:lblOffset val="100"/>
        <c:noMultiLvlLbl val="0"/>
      </c:catAx>
      <c:valAx>
        <c:axId val="6656707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Loan 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99453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[working_bank.xlsx]PivotTables!PivotTable5</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Approval by Credit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PivotTables!$J$17:$J$18</c:f>
              <c:strCache>
                <c:ptCount val="1"/>
                <c:pt idx="0">
                  <c:v>Approved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PivotTables!$I$19:$I$21</c:f>
              <c:strCache>
                <c:ptCount val="2"/>
                <c:pt idx="0">
                  <c:v>0</c:v>
                </c:pt>
                <c:pt idx="1">
                  <c:v>1</c:v>
                </c:pt>
              </c:strCache>
            </c:strRef>
          </c:cat>
          <c:val>
            <c:numRef>
              <c:f>PivotTables!$J$19:$J$21</c:f>
              <c:numCache>
                <c:formatCode>General</c:formatCode>
                <c:ptCount val="2"/>
                <c:pt idx="0">
                  <c:v>198</c:v>
                </c:pt>
                <c:pt idx="1">
                  <c:v>705</c:v>
                </c:pt>
              </c:numCache>
            </c:numRef>
          </c:val>
          <c:extLst>
            <c:ext xmlns:c16="http://schemas.microsoft.com/office/drawing/2014/chart" uri="{C3380CC4-5D6E-409C-BE32-E72D297353CC}">
              <c16:uniqueId val="{00000000-A4BA-424B-B506-1521D16CAEE5}"/>
            </c:ext>
          </c:extLst>
        </c:ser>
        <c:ser>
          <c:idx val="1"/>
          <c:order val="1"/>
          <c:tx>
            <c:strRef>
              <c:f>PivotTables!$K$17:$K$18</c:f>
              <c:strCache>
                <c:ptCount val="1"/>
                <c:pt idx="0">
                  <c:v>Rejected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PivotTables!$I$19:$I$21</c:f>
              <c:strCache>
                <c:ptCount val="2"/>
                <c:pt idx="0">
                  <c:v>0</c:v>
                </c:pt>
                <c:pt idx="1">
                  <c:v>1</c:v>
                </c:pt>
              </c:strCache>
            </c:strRef>
          </c:cat>
          <c:val>
            <c:numRef>
              <c:f>PivotTables!$K$19:$K$21</c:f>
              <c:numCache>
                <c:formatCode>General</c:formatCode>
                <c:ptCount val="2"/>
                <c:pt idx="0">
                  <c:v>49</c:v>
                </c:pt>
                <c:pt idx="1">
                  <c:v>48</c:v>
                </c:pt>
              </c:numCache>
            </c:numRef>
          </c:val>
          <c:extLst>
            <c:ext xmlns:c16="http://schemas.microsoft.com/office/drawing/2014/chart" uri="{C3380CC4-5D6E-409C-BE32-E72D297353CC}">
              <c16:uniqueId val="{00000001-A4BA-424B-B506-1521D16CAEE5}"/>
            </c:ext>
          </c:extLst>
        </c:ser>
        <c:dLbls>
          <c:dLblPos val="inEnd"/>
          <c:showLegendKey val="0"/>
          <c:showVal val="1"/>
          <c:showCatName val="0"/>
          <c:showSerName val="0"/>
          <c:showPercent val="0"/>
          <c:showBubbleSize val="0"/>
        </c:dLbls>
        <c:gapWidth val="65"/>
        <c:axId val="1592153775"/>
        <c:axId val="1196274511"/>
      </c:barChart>
      <c:catAx>
        <c:axId val="15921537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Credit History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6274511"/>
        <c:crosses val="autoZero"/>
        <c:auto val="1"/>
        <c:lblAlgn val="ctr"/>
        <c:lblOffset val="100"/>
        <c:noMultiLvlLbl val="0"/>
      </c:catAx>
      <c:valAx>
        <c:axId val="1196274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Loan Applications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921537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[working_bank.xlsx]PivotTables!PivotTable6</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Approval by Dependents.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PivotTables!$J$27:$J$28</c:f>
              <c:strCache>
                <c:ptCount val="1"/>
                <c:pt idx="0">
                  <c:v>Approved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PivotTables!$I$29:$I$33</c:f>
              <c:strCache>
                <c:ptCount val="4"/>
                <c:pt idx="0">
                  <c:v>0</c:v>
                </c:pt>
                <c:pt idx="1">
                  <c:v>1</c:v>
                </c:pt>
                <c:pt idx="2">
                  <c:v>2</c:v>
                </c:pt>
                <c:pt idx="3">
                  <c:v>3</c:v>
                </c:pt>
              </c:strCache>
            </c:strRef>
          </c:cat>
          <c:val>
            <c:numRef>
              <c:f>PivotTables!$J$29:$J$33</c:f>
              <c:numCache>
                <c:formatCode>0.00%</c:formatCode>
                <c:ptCount val="4"/>
                <c:pt idx="0">
                  <c:v>0.92468619246861927</c:v>
                </c:pt>
                <c:pt idx="1">
                  <c:v>0.87739463601532564</c:v>
                </c:pt>
                <c:pt idx="2">
                  <c:v>0.92116182572614103</c:v>
                </c:pt>
                <c:pt idx="3">
                  <c:v>0.89189189189189189</c:v>
                </c:pt>
              </c:numCache>
            </c:numRef>
          </c:val>
          <c:extLst>
            <c:ext xmlns:c16="http://schemas.microsoft.com/office/drawing/2014/chart" uri="{C3380CC4-5D6E-409C-BE32-E72D297353CC}">
              <c16:uniqueId val="{00000000-7B7F-49AC-8BB4-2BE4DC7C8068}"/>
            </c:ext>
          </c:extLst>
        </c:ser>
        <c:ser>
          <c:idx val="1"/>
          <c:order val="1"/>
          <c:tx>
            <c:strRef>
              <c:f>PivotTables!$K$27:$K$28</c:f>
              <c:strCache>
                <c:ptCount val="1"/>
                <c:pt idx="0">
                  <c:v>Rejected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PivotTables!$I$29:$I$33</c:f>
              <c:strCache>
                <c:ptCount val="4"/>
                <c:pt idx="0">
                  <c:v>0</c:v>
                </c:pt>
                <c:pt idx="1">
                  <c:v>1</c:v>
                </c:pt>
                <c:pt idx="2">
                  <c:v>2</c:v>
                </c:pt>
                <c:pt idx="3">
                  <c:v>3</c:v>
                </c:pt>
              </c:strCache>
            </c:strRef>
          </c:cat>
          <c:val>
            <c:numRef>
              <c:f>PivotTables!$K$29:$K$33</c:f>
              <c:numCache>
                <c:formatCode>0.00%</c:formatCode>
                <c:ptCount val="4"/>
                <c:pt idx="0">
                  <c:v>7.5313807531380755E-2</c:v>
                </c:pt>
                <c:pt idx="1">
                  <c:v>0.12260536398467432</c:v>
                </c:pt>
                <c:pt idx="2">
                  <c:v>7.8838174273858919E-2</c:v>
                </c:pt>
                <c:pt idx="3">
                  <c:v>0.10810810810810811</c:v>
                </c:pt>
              </c:numCache>
            </c:numRef>
          </c:val>
          <c:extLst>
            <c:ext xmlns:c16="http://schemas.microsoft.com/office/drawing/2014/chart" uri="{C3380CC4-5D6E-409C-BE32-E72D297353CC}">
              <c16:uniqueId val="{00000001-7B7F-49AC-8BB4-2BE4DC7C8068}"/>
            </c:ext>
          </c:extLst>
        </c:ser>
        <c:dLbls>
          <c:dLblPos val="inEnd"/>
          <c:showLegendKey val="0"/>
          <c:showVal val="1"/>
          <c:showCatName val="0"/>
          <c:showSerName val="0"/>
          <c:showPercent val="0"/>
          <c:showBubbleSize val="0"/>
        </c:dLbls>
        <c:gapWidth val="65"/>
        <c:overlap val="100"/>
        <c:axId val="2036162416"/>
        <c:axId val="1489750800"/>
      </c:barChart>
      <c:catAx>
        <c:axId val="20361624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Dependents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9750800"/>
        <c:crosses val="autoZero"/>
        <c:auto val="1"/>
        <c:lblAlgn val="ctr"/>
        <c:lblOffset val="100"/>
        <c:noMultiLvlLbl val="0"/>
      </c:catAx>
      <c:valAx>
        <c:axId val="14897508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Loan Applications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61624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36</xdr:col>
      <xdr:colOff>673</xdr:colOff>
      <xdr:row>888</xdr:row>
      <xdr:rowOff>67628</xdr:rowOff>
    </xdr:from>
    <xdr:to>
      <xdr:col>38</xdr:col>
      <xdr:colOff>587693</xdr:colOff>
      <xdr:row>902</xdr:row>
      <xdr:rowOff>88583</xdr:rowOff>
    </xdr:to>
    <mc:AlternateContent xmlns:mc="http://schemas.openxmlformats.org/markup-compatibility/2006" xmlns:sle15="http://schemas.microsoft.com/office/drawing/2012/slicer">
      <mc:Choice Requires="sle15">
        <xdr:graphicFrame macro="">
          <xdr:nvGraphicFramePr>
            <xdr:cNvPr id="3" name="Loan_Status">
              <a:extLst>
                <a:ext uri="{FF2B5EF4-FFF2-40B4-BE49-F238E27FC236}">
                  <a16:creationId xmlns:a16="http://schemas.microsoft.com/office/drawing/2014/main" id="{6B19329E-CC7A-A069-CB1A-24EB32517DDC}"/>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27868102" y="164398371"/>
              <a:ext cx="1806220" cy="26117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9895</xdr:colOff>
      <xdr:row>1</xdr:row>
      <xdr:rowOff>29688</xdr:rowOff>
    </xdr:from>
    <xdr:to>
      <xdr:col>22</xdr:col>
      <xdr:colOff>168233</xdr:colOff>
      <xdr:row>13</xdr:row>
      <xdr:rowOff>138546</xdr:rowOff>
    </xdr:to>
    <xdr:sp macro="" textlink="">
      <xdr:nvSpPr>
        <xdr:cNvPr id="4" name="Rectangle: Rounded Corners 3">
          <a:extLst>
            <a:ext uri="{FF2B5EF4-FFF2-40B4-BE49-F238E27FC236}">
              <a16:creationId xmlns:a16="http://schemas.microsoft.com/office/drawing/2014/main" id="{523B8B17-FF0A-7EBE-24B8-480C9DD9333E}"/>
            </a:ext>
          </a:extLst>
        </xdr:cNvPr>
        <xdr:cNvSpPr/>
      </xdr:nvSpPr>
      <xdr:spPr>
        <a:xfrm>
          <a:off x="6353298" y="207818"/>
          <a:ext cx="7521039" cy="2246416"/>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a:t>Bank</a:t>
          </a:r>
          <a:r>
            <a:rPr lang="en-US" sz="1100" baseline="0"/>
            <a:t> loan Dashbo</a:t>
          </a:r>
          <a:endParaRPr lang="en-US" sz="1100"/>
        </a:p>
      </xdr:txBody>
    </xdr:sp>
    <xdr:clientData/>
  </xdr:twoCellAnchor>
  <xdr:twoCellAnchor>
    <xdr:from>
      <xdr:col>10</xdr:col>
      <xdr:colOff>376051</xdr:colOff>
      <xdr:row>5</xdr:row>
      <xdr:rowOff>49482</xdr:rowOff>
    </xdr:from>
    <xdr:to>
      <xdr:col>13</xdr:col>
      <xdr:colOff>69272</xdr:colOff>
      <xdr:row>10</xdr:row>
      <xdr:rowOff>73232</xdr:rowOff>
    </xdr:to>
    <xdr:sp macro="" textlink="">
      <xdr:nvSpPr>
        <xdr:cNvPr id="5" name="Rectangle: Rounded Corners 4">
          <a:extLst>
            <a:ext uri="{FF2B5EF4-FFF2-40B4-BE49-F238E27FC236}">
              <a16:creationId xmlns:a16="http://schemas.microsoft.com/office/drawing/2014/main" id="{6584C6E3-5A4B-5F94-CBDA-A09D580B78E7}"/>
            </a:ext>
          </a:extLst>
        </xdr:cNvPr>
        <xdr:cNvSpPr/>
      </xdr:nvSpPr>
      <xdr:spPr>
        <a:xfrm>
          <a:off x="6719454" y="940131"/>
          <a:ext cx="1533896"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Total Applications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419453</xdr:colOff>
      <xdr:row>9</xdr:row>
      <xdr:rowOff>181870</xdr:rowOff>
    </xdr:from>
    <xdr:to>
      <xdr:col>34</xdr:col>
      <xdr:colOff>142184</xdr:colOff>
      <xdr:row>20</xdr:row>
      <xdr:rowOff>145891</xdr:rowOff>
    </xdr:to>
    <xdr:sp macro="" textlink="">
      <xdr:nvSpPr>
        <xdr:cNvPr id="5" name="Rectangle: Rounded Corners 4">
          <a:extLst>
            <a:ext uri="{FF2B5EF4-FFF2-40B4-BE49-F238E27FC236}">
              <a16:creationId xmlns:a16="http://schemas.microsoft.com/office/drawing/2014/main" id="{5C1CB019-D952-96A0-967A-5EDE3C318772}"/>
            </a:ext>
          </a:extLst>
        </xdr:cNvPr>
        <xdr:cNvSpPr/>
      </xdr:nvSpPr>
      <xdr:spPr>
        <a:xfrm>
          <a:off x="10684887" y="1864021"/>
          <a:ext cx="10002542" cy="2019983"/>
        </a:xfrm>
        <a:prstGeom prst="roundRect">
          <a:avLst/>
        </a:prstGeom>
        <a:solidFill>
          <a:schemeClr val="bg2"/>
        </a:solidFill>
        <a:ln>
          <a:solidFill>
            <a:schemeClr val="tx1"/>
          </a:solidFill>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US" sz="1600" b="1"/>
        </a:p>
      </xdr:txBody>
    </xdr:sp>
    <xdr:clientData/>
  </xdr:twoCellAnchor>
  <xdr:twoCellAnchor>
    <xdr:from>
      <xdr:col>18</xdr:col>
      <xdr:colOff>99977</xdr:colOff>
      <xdr:row>10</xdr:row>
      <xdr:rowOff>153581</xdr:rowOff>
    </xdr:from>
    <xdr:to>
      <xdr:col>21</xdr:col>
      <xdr:colOff>336633</xdr:colOff>
      <xdr:row>14</xdr:row>
      <xdr:rowOff>126367</xdr:rowOff>
    </xdr:to>
    <xdr:sp macro="" textlink="">
      <xdr:nvSpPr>
        <xdr:cNvPr id="6" name="Rectangle: Rounded Corners 5">
          <a:extLst>
            <a:ext uri="{FF2B5EF4-FFF2-40B4-BE49-F238E27FC236}">
              <a16:creationId xmlns:a16="http://schemas.microsoft.com/office/drawing/2014/main" id="{20A9ECFD-3921-E8A6-5702-E96E9CA1F1A1}"/>
            </a:ext>
          </a:extLst>
        </xdr:cNvPr>
        <xdr:cNvSpPr/>
      </xdr:nvSpPr>
      <xdr:spPr>
        <a:xfrm>
          <a:off x="10983637" y="2022638"/>
          <a:ext cx="2048204" cy="7204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Applications</a:t>
          </a:r>
        </a:p>
        <a:p>
          <a:pPr algn="ctr"/>
          <a:r>
            <a:rPr lang="en-US" sz="1400" b="0" i="0" u="none" strike="noStrike">
              <a:solidFill>
                <a:schemeClr val="lt1"/>
              </a:solidFill>
              <a:effectLst/>
              <a:latin typeface="+mn-lt"/>
              <a:ea typeface="+mn-ea"/>
              <a:cs typeface="+mn-cs"/>
            </a:rPr>
            <a:t>1000</a:t>
          </a:r>
          <a:r>
            <a:rPr lang="en-US" sz="1400">
              <a:effectLst/>
            </a:rPr>
            <a:t> </a:t>
          </a:r>
          <a:endParaRPr lang="en-US" sz="1400"/>
        </a:p>
      </xdr:txBody>
    </xdr:sp>
    <xdr:clientData/>
  </xdr:twoCellAnchor>
  <xdr:twoCellAnchor>
    <xdr:from>
      <xdr:col>22</xdr:col>
      <xdr:colOff>20821</xdr:colOff>
      <xdr:row>10</xdr:row>
      <xdr:rowOff>153581</xdr:rowOff>
    </xdr:from>
    <xdr:to>
      <xdr:col>25</xdr:col>
      <xdr:colOff>251726</xdr:colOff>
      <xdr:row>14</xdr:row>
      <xdr:rowOff>123557</xdr:rowOff>
    </xdr:to>
    <xdr:sp macro="" textlink="">
      <xdr:nvSpPr>
        <xdr:cNvPr id="9" name="Rectangle: Rounded Corners 8">
          <a:extLst>
            <a:ext uri="{FF2B5EF4-FFF2-40B4-BE49-F238E27FC236}">
              <a16:creationId xmlns:a16="http://schemas.microsoft.com/office/drawing/2014/main" id="{BD856290-F2E2-16C8-408B-BD832B82C4F6}"/>
            </a:ext>
          </a:extLst>
        </xdr:cNvPr>
        <xdr:cNvSpPr/>
      </xdr:nvSpPr>
      <xdr:spPr>
        <a:xfrm>
          <a:off x="13319878" y="2022638"/>
          <a:ext cx="2042452" cy="7175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lt1"/>
              </a:solidFill>
              <a:latin typeface="+mn-lt"/>
              <a:ea typeface="+mn-ea"/>
              <a:cs typeface="+mn-cs"/>
            </a:rPr>
            <a:t>Approved</a:t>
          </a:r>
          <a:r>
            <a:rPr lang="en-US" sz="1400"/>
            <a:t> </a:t>
          </a:r>
          <a:r>
            <a:rPr lang="en-US" sz="1400">
              <a:solidFill>
                <a:schemeClr val="lt1"/>
              </a:solidFill>
              <a:latin typeface="+mn-lt"/>
              <a:ea typeface="+mn-ea"/>
              <a:cs typeface="+mn-cs"/>
            </a:rPr>
            <a:t>Loans</a:t>
          </a:r>
          <a:r>
            <a:rPr lang="en-US" sz="1400"/>
            <a:t>    </a:t>
          </a:r>
        </a:p>
        <a:p>
          <a:pPr algn="ctr"/>
          <a:r>
            <a:rPr lang="en-US" sz="1100"/>
            <a:t>      </a:t>
          </a:r>
          <a:r>
            <a:rPr lang="en-US" sz="1400" b="0" i="0" u="none" strike="noStrike">
              <a:solidFill>
                <a:schemeClr val="lt1"/>
              </a:solidFill>
              <a:effectLst/>
              <a:latin typeface="+mn-lt"/>
              <a:ea typeface="+mn-ea"/>
              <a:cs typeface="+mn-cs"/>
            </a:rPr>
            <a:t>903</a:t>
          </a:r>
          <a:r>
            <a:rPr lang="en-US" sz="1400">
              <a:effectLst/>
            </a:rPr>
            <a:t> </a:t>
          </a:r>
          <a:endParaRPr lang="en-US" sz="1400"/>
        </a:p>
      </xdr:txBody>
    </xdr:sp>
    <xdr:clientData/>
  </xdr:twoCellAnchor>
  <xdr:twoCellAnchor>
    <xdr:from>
      <xdr:col>26</xdr:col>
      <xdr:colOff>30228</xdr:colOff>
      <xdr:row>10</xdr:row>
      <xdr:rowOff>142695</xdr:rowOff>
    </xdr:from>
    <xdr:to>
      <xdr:col>29</xdr:col>
      <xdr:colOff>45750</xdr:colOff>
      <xdr:row>14</xdr:row>
      <xdr:rowOff>156216</xdr:rowOff>
    </xdr:to>
    <xdr:sp macro="" textlink="">
      <xdr:nvSpPr>
        <xdr:cNvPr id="10" name="Rectangle: Rounded Corners 9">
          <a:extLst>
            <a:ext uri="{FF2B5EF4-FFF2-40B4-BE49-F238E27FC236}">
              <a16:creationId xmlns:a16="http://schemas.microsoft.com/office/drawing/2014/main" id="{3BB009FB-18F8-1368-56D5-7E5CCCA4C670}"/>
            </a:ext>
          </a:extLst>
        </xdr:cNvPr>
        <xdr:cNvSpPr/>
      </xdr:nvSpPr>
      <xdr:spPr>
        <a:xfrm>
          <a:off x="15744681" y="2011752"/>
          <a:ext cx="1827069" cy="761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Rejected Loans</a:t>
          </a:r>
        </a:p>
        <a:p>
          <a:pPr algn="ctr"/>
          <a:r>
            <a:rPr lang="en-US" sz="1400" b="0" i="0" u="none" strike="noStrike">
              <a:solidFill>
                <a:schemeClr val="lt1"/>
              </a:solidFill>
              <a:effectLst/>
              <a:latin typeface="+mn-lt"/>
              <a:ea typeface="+mn-ea"/>
              <a:cs typeface="+mn-cs"/>
            </a:rPr>
            <a:t>97</a:t>
          </a:r>
          <a:r>
            <a:rPr lang="en-US" sz="1400">
              <a:effectLst/>
            </a:rPr>
            <a:t> </a:t>
          </a:r>
          <a:endParaRPr lang="en-US" sz="1400"/>
        </a:p>
      </xdr:txBody>
    </xdr:sp>
    <xdr:clientData/>
  </xdr:twoCellAnchor>
  <xdr:twoCellAnchor>
    <xdr:from>
      <xdr:col>29</xdr:col>
      <xdr:colOff>580562</xdr:colOff>
      <xdr:row>10</xdr:row>
      <xdr:rowOff>160873</xdr:rowOff>
    </xdr:from>
    <xdr:to>
      <xdr:col>33</xdr:col>
      <xdr:colOff>288212</xdr:colOff>
      <xdr:row>14</xdr:row>
      <xdr:rowOff>115483</xdr:rowOff>
    </xdr:to>
    <xdr:sp macro="" textlink="">
      <xdr:nvSpPr>
        <xdr:cNvPr id="11" name="Rectangle: Rounded Corners 10">
          <a:extLst>
            <a:ext uri="{FF2B5EF4-FFF2-40B4-BE49-F238E27FC236}">
              <a16:creationId xmlns:a16="http://schemas.microsoft.com/office/drawing/2014/main" id="{037B460A-35EB-9B19-6237-BC5B86EA6A29}"/>
            </a:ext>
          </a:extLst>
        </xdr:cNvPr>
        <xdr:cNvSpPr/>
      </xdr:nvSpPr>
      <xdr:spPr>
        <a:xfrm>
          <a:off x="18106562" y="2029930"/>
          <a:ext cx="2123046" cy="7022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400"/>
            <a:t>Total Loan Amount</a:t>
          </a:r>
        </a:p>
        <a:p>
          <a:pPr algn="ctr"/>
          <a:r>
            <a:rPr lang="en-US" sz="1400">
              <a:effectLst/>
            </a:rPr>
            <a:t> </a:t>
          </a:r>
          <a:r>
            <a:rPr lang="en-US" sz="1400" b="0" i="0" u="none" strike="noStrike">
              <a:solidFill>
                <a:schemeClr val="lt1"/>
              </a:solidFill>
              <a:effectLst/>
              <a:latin typeface="+mn-lt"/>
              <a:ea typeface="+mn-ea"/>
              <a:cs typeface="+mn-cs"/>
            </a:rPr>
            <a:t> 3,79,855.00</a:t>
          </a:r>
          <a:r>
            <a:rPr lang="en-US" sz="1400">
              <a:effectLst/>
            </a:rPr>
            <a:t> </a:t>
          </a:r>
          <a:endParaRPr lang="en-US" sz="1400"/>
        </a:p>
      </xdr:txBody>
    </xdr:sp>
    <xdr:clientData/>
  </xdr:twoCellAnchor>
  <xdr:twoCellAnchor>
    <xdr:from>
      <xdr:col>18</xdr:col>
      <xdr:colOff>148857</xdr:colOff>
      <xdr:row>16</xdr:row>
      <xdr:rowOff>40684</xdr:rowOff>
    </xdr:from>
    <xdr:to>
      <xdr:col>21</xdr:col>
      <xdr:colOff>431885</xdr:colOff>
      <xdr:row>19</xdr:row>
      <xdr:rowOff>142694</xdr:rowOff>
    </xdr:to>
    <xdr:sp macro="" textlink="">
      <xdr:nvSpPr>
        <xdr:cNvPr id="12" name="Rectangle: Rounded Corners 11">
          <a:extLst>
            <a:ext uri="{FF2B5EF4-FFF2-40B4-BE49-F238E27FC236}">
              <a16:creationId xmlns:a16="http://schemas.microsoft.com/office/drawing/2014/main" id="{408AA430-F08A-D038-71A4-86840ECF998A}"/>
            </a:ext>
          </a:extLst>
        </xdr:cNvPr>
        <xdr:cNvSpPr/>
      </xdr:nvSpPr>
      <xdr:spPr>
        <a:xfrm>
          <a:off x="11032517" y="3031175"/>
          <a:ext cx="2094576" cy="662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Approval Rate</a:t>
          </a:r>
          <a:r>
            <a:rPr lang="en-US" sz="1400" baseline="0"/>
            <a:t> </a:t>
          </a:r>
        </a:p>
        <a:p>
          <a:pPr algn="ctr"/>
          <a:r>
            <a:rPr lang="en-US" sz="1400" b="0" i="0" u="none" strike="noStrike">
              <a:solidFill>
                <a:schemeClr val="lt1"/>
              </a:solidFill>
              <a:effectLst/>
              <a:latin typeface="+mn-lt"/>
              <a:ea typeface="+mn-ea"/>
              <a:cs typeface="+mn-cs"/>
            </a:rPr>
            <a:t>90.30%</a:t>
          </a:r>
          <a:r>
            <a:rPr lang="en-US" sz="1400">
              <a:effectLst/>
            </a:rPr>
            <a:t> </a:t>
          </a:r>
          <a:endParaRPr lang="en-US" sz="1400"/>
        </a:p>
      </xdr:txBody>
    </xdr:sp>
    <xdr:clientData/>
  </xdr:twoCellAnchor>
  <xdr:twoCellAnchor>
    <xdr:from>
      <xdr:col>22</xdr:col>
      <xdr:colOff>178073</xdr:colOff>
      <xdr:row>16</xdr:row>
      <xdr:rowOff>72885</xdr:rowOff>
    </xdr:from>
    <xdr:to>
      <xdr:col>27</xdr:col>
      <xdr:colOff>195258</xdr:colOff>
      <xdr:row>19</xdr:row>
      <xdr:rowOff>160872</xdr:rowOff>
    </xdr:to>
    <xdr:sp macro="" textlink="">
      <xdr:nvSpPr>
        <xdr:cNvPr id="14" name="Rectangle: Rounded Corners 13">
          <a:extLst>
            <a:ext uri="{FF2B5EF4-FFF2-40B4-BE49-F238E27FC236}">
              <a16:creationId xmlns:a16="http://schemas.microsoft.com/office/drawing/2014/main" id="{C23345EC-FC01-5E01-424D-AB138416BBD1}"/>
            </a:ext>
          </a:extLst>
        </xdr:cNvPr>
        <xdr:cNvSpPr/>
      </xdr:nvSpPr>
      <xdr:spPr>
        <a:xfrm>
          <a:off x="13477130" y="3063376"/>
          <a:ext cx="3036430" cy="6487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Average Loan Amount</a:t>
          </a:r>
        </a:p>
        <a:p>
          <a:pPr algn="ctr"/>
          <a:r>
            <a:rPr lang="en-US" sz="1400" b="0" i="0" u="none" strike="noStrike">
              <a:solidFill>
                <a:schemeClr val="lt1"/>
              </a:solidFill>
              <a:effectLst/>
              <a:latin typeface="+mn-lt"/>
              <a:ea typeface="+mn-ea"/>
              <a:cs typeface="+mn-cs"/>
            </a:rPr>
            <a:t>379.855</a:t>
          </a:r>
          <a:r>
            <a:rPr lang="en-US" sz="1400">
              <a:effectLst/>
            </a:rPr>
            <a:t> </a:t>
          </a:r>
          <a:endParaRPr lang="en-US" sz="1400"/>
        </a:p>
      </xdr:txBody>
    </xdr:sp>
    <xdr:clientData/>
  </xdr:twoCellAnchor>
  <xdr:twoCellAnchor>
    <xdr:from>
      <xdr:col>17</xdr:col>
      <xdr:colOff>402566</xdr:colOff>
      <xdr:row>3</xdr:row>
      <xdr:rowOff>86266</xdr:rowOff>
    </xdr:from>
    <xdr:to>
      <xdr:col>34</xdr:col>
      <xdr:colOff>115019</xdr:colOff>
      <xdr:row>9</xdr:row>
      <xdr:rowOff>101502</xdr:rowOff>
    </xdr:to>
    <xdr:sp macro="" textlink="">
      <xdr:nvSpPr>
        <xdr:cNvPr id="15" name="Rectangle: Rounded Corners 14">
          <a:extLst>
            <a:ext uri="{FF2B5EF4-FFF2-40B4-BE49-F238E27FC236}">
              <a16:creationId xmlns:a16="http://schemas.microsoft.com/office/drawing/2014/main" id="{0F887DDA-8970-FAA1-5D18-E3742F093D75}"/>
            </a:ext>
          </a:extLst>
        </xdr:cNvPr>
        <xdr:cNvSpPr/>
      </xdr:nvSpPr>
      <xdr:spPr>
        <a:xfrm>
          <a:off x="10668000" y="646983"/>
          <a:ext cx="9992264" cy="1136670"/>
        </a:xfrm>
        <a:prstGeom prst="roundRect">
          <a:avLst/>
        </a:prstGeom>
        <a:ln>
          <a:solidFill>
            <a:srgbClr val="00206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4000"/>
            <a:t>BANK</a:t>
          </a:r>
          <a:r>
            <a:rPr lang="en-US" sz="4000" baseline="0"/>
            <a:t> LOAN ANALYSIS DASHBOARD</a:t>
          </a:r>
          <a:endParaRPr lang="en-US" sz="4000"/>
        </a:p>
      </xdr:txBody>
    </xdr:sp>
    <xdr:clientData/>
  </xdr:twoCellAnchor>
  <xdr:twoCellAnchor>
    <xdr:from>
      <xdr:col>17</xdr:col>
      <xdr:colOff>451605</xdr:colOff>
      <xdr:row>27</xdr:row>
      <xdr:rowOff>186138</xdr:rowOff>
    </xdr:from>
    <xdr:to>
      <xdr:col>25</xdr:col>
      <xdr:colOff>562133</xdr:colOff>
      <xdr:row>45</xdr:row>
      <xdr:rowOff>133000</xdr:rowOff>
    </xdr:to>
    <xdr:graphicFrame macro="">
      <xdr:nvGraphicFramePr>
        <xdr:cNvPr id="16" name="Chart 15">
          <a:extLst>
            <a:ext uri="{FF2B5EF4-FFF2-40B4-BE49-F238E27FC236}">
              <a16:creationId xmlns:a16="http://schemas.microsoft.com/office/drawing/2014/main" id="{F46488D1-19F2-4238-A7C6-D16552BFC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29280</xdr:colOff>
      <xdr:row>27</xdr:row>
      <xdr:rowOff>176604</xdr:rowOff>
    </xdr:from>
    <xdr:to>
      <xdr:col>34</xdr:col>
      <xdr:colOff>116146</xdr:colOff>
      <xdr:row>45</xdr:row>
      <xdr:rowOff>127069</xdr:rowOff>
    </xdr:to>
    <xdr:graphicFrame macro="">
      <xdr:nvGraphicFramePr>
        <xdr:cNvPr id="18" name="Chart 17">
          <a:extLst>
            <a:ext uri="{FF2B5EF4-FFF2-40B4-BE49-F238E27FC236}">
              <a16:creationId xmlns:a16="http://schemas.microsoft.com/office/drawing/2014/main" id="{0F10EF62-F9C2-45E4-8CD7-6D23684A0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472995</xdr:colOff>
      <xdr:row>46</xdr:row>
      <xdr:rowOff>56460</xdr:rowOff>
    </xdr:from>
    <xdr:to>
      <xdr:col>25</xdr:col>
      <xdr:colOff>566042</xdr:colOff>
      <xdr:row>63</xdr:row>
      <xdr:rowOff>186372</xdr:rowOff>
    </xdr:to>
    <xdr:graphicFrame macro="">
      <xdr:nvGraphicFramePr>
        <xdr:cNvPr id="19" name="Chart 18">
          <a:extLst>
            <a:ext uri="{FF2B5EF4-FFF2-40B4-BE49-F238E27FC236}">
              <a16:creationId xmlns:a16="http://schemas.microsoft.com/office/drawing/2014/main" id="{025D69BE-3452-428F-AED3-319883B3F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491961</xdr:colOff>
      <xdr:row>20</xdr:row>
      <xdr:rowOff>153567</xdr:rowOff>
    </xdr:from>
    <xdr:to>
      <xdr:col>21</xdr:col>
      <xdr:colOff>153783</xdr:colOff>
      <xdr:row>27</xdr:row>
      <xdr:rowOff>106284</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21151F77-0DAF-4E84-97B4-0BB6E1A01CB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914720" y="3832188"/>
              <a:ext cx="2114235" cy="1240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489618</xdr:colOff>
      <xdr:row>20</xdr:row>
      <xdr:rowOff>162920</xdr:rowOff>
    </xdr:from>
    <xdr:to>
      <xdr:col>34</xdr:col>
      <xdr:colOff>144138</xdr:colOff>
      <xdr:row>27</xdr:row>
      <xdr:rowOff>77346</xdr:rowOff>
    </xdr:to>
    <mc:AlternateContent xmlns:mc="http://schemas.openxmlformats.org/markup-compatibility/2006" xmlns:a14="http://schemas.microsoft.com/office/drawing/2010/main">
      <mc:Choice Requires="a14">
        <xdr:graphicFrame macro="">
          <xdr:nvGraphicFramePr>
            <xdr:cNvPr id="21" name="Education">
              <a:extLst>
                <a:ext uri="{FF2B5EF4-FFF2-40B4-BE49-F238E27FC236}">
                  <a16:creationId xmlns:a16="http://schemas.microsoft.com/office/drawing/2014/main" id="{6C7C44C1-53D1-4350-81A8-77C7E562B8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8882721" y="3841541"/>
              <a:ext cx="2106934" cy="1201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143795</xdr:colOff>
      <xdr:row>20</xdr:row>
      <xdr:rowOff>163289</xdr:rowOff>
    </xdr:from>
    <xdr:to>
      <xdr:col>24</xdr:col>
      <xdr:colOff>298466</xdr:colOff>
      <xdr:row>27</xdr:row>
      <xdr:rowOff>106284</xdr:rowOff>
    </xdr:to>
    <mc:AlternateContent xmlns:mc="http://schemas.openxmlformats.org/markup-compatibility/2006" xmlns:a14="http://schemas.microsoft.com/office/drawing/2010/main">
      <mc:Choice Requires="a14">
        <xdr:graphicFrame macro="">
          <xdr:nvGraphicFramePr>
            <xdr:cNvPr id="22" name="Loan_Status 1">
              <a:extLst>
                <a:ext uri="{FF2B5EF4-FFF2-40B4-BE49-F238E27FC236}">
                  <a16:creationId xmlns:a16="http://schemas.microsoft.com/office/drawing/2014/main" id="{F18A4AE8-AE52-4164-9AEE-EAE020C66034}"/>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mlns="">
        <xdr:sp macro="" textlink="">
          <xdr:nvSpPr>
            <xdr:cNvPr id="0" name=""/>
            <xdr:cNvSpPr>
              <a:spLocks noTextEdit="1"/>
            </xdr:cNvSpPr>
          </xdr:nvSpPr>
          <xdr:spPr>
            <a:xfrm>
              <a:off x="13018967" y="3841910"/>
              <a:ext cx="1993982" cy="1230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299587</xdr:colOff>
      <xdr:row>20</xdr:row>
      <xdr:rowOff>149390</xdr:rowOff>
    </xdr:from>
    <xdr:to>
      <xdr:col>27</xdr:col>
      <xdr:colOff>452796</xdr:colOff>
      <xdr:row>27</xdr:row>
      <xdr:rowOff>89355</xdr:rowOff>
    </xdr:to>
    <mc:AlternateContent xmlns:mc="http://schemas.openxmlformats.org/markup-compatibility/2006" xmlns:a14="http://schemas.microsoft.com/office/drawing/2010/main">
      <mc:Choice Requires="a14">
        <xdr:graphicFrame macro="">
          <xdr:nvGraphicFramePr>
            <xdr:cNvPr id="23" name="Property_Area">
              <a:extLst>
                <a:ext uri="{FF2B5EF4-FFF2-40B4-BE49-F238E27FC236}">
                  <a16:creationId xmlns:a16="http://schemas.microsoft.com/office/drawing/2014/main" id="{52E98A6E-FC22-4A22-9116-F59D18964260}"/>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mlns="">
        <xdr:sp macro="" textlink="">
          <xdr:nvSpPr>
            <xdr:cNvPr id="0" name=""/>
            <xdr:cNvSpPr>
              <a:spLocks noTextEdit="1"/>
            </xdr:cNvSpPr>
          </xdr:nvSpPr>
          <xdr:spPr>
            <a:xfrm>
              <a:off x="15014070" y="3828011"/>
              <a:ext cx="1992519" cy="1227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461295</xdr:colOff>
      <xdr:row>64</xdr:row>
      <xdr:rowOff>120473</xdr:rowOff>
    </xdr:from>
    <xdr:to>
      <xdr:col>25</xdr:col>
      <xdr:colOff>575449</xdr:colOff>
      <xdr:row>82</xdr:row>
      <xdr:rowOff>74726</xdr:rowOff>
    </xdr:to>
    <xdr:graphicFrame macro="">
      <xdr:nvGraphicFramePr>
        <xdr:cNvPr id="2" name="Chart 1">
          <a:extLst>
            <a:ext uri="{FF2B5EF4-FFF2-40B4-BE49-F238E27FC236}">
              <a16:creationId xmlns:a16="http://schemas.microsoft.com/office/drawing/2014/main" id="{9E2542A6-2CE0-4403-BB33-0E5AFA067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17758</xdr:colOff>
      <xdr:row>46</xdr:row>
      <xdr:rowOff>69902</xdr:rowOff>
    </xdr:from>
    <xdr:to>
      <xdr:col>34</xdr:col>
      <xdr:colOff>105079</xdr:colOff>
      <xdr:row>63</xdr:row>
      <xdr:rowOff>186372</xdr:rowOff>
    </xdr:to>
    <xdr:graphicFrame macro="">
      <xdr:nvGraphicFramePr>
        <xdr:cNvPr id="3" name="Chart 2">
          <a:extLst>
            <a:ext uri="{FF2B5EF4-FFF2-40B4-BE49-F238E27FC236}">
              <a16:creationId xmlns:a16="http://schemas.microsoft.com/office/drawing/2014/main" id="{6BB0A5BB-3EE2-4436-8413-EAAB23214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452479</xdr:colOff>
      <xdr:row>20</xdr:row>
      <xdr:rowOff>145241</xdr:rowOff>
    </xdr:from>
    <xdr:to>
      <xdr:col>30</xdr:col>
      <xdr:colOff>478342</xdr:colOff>
      <xdr:row>27</xdr:row>
      <xdr:rowOff>96637</xdr:rowOff>
    </xdr:to>
    <mc:AlternateContent xmlns:mc="http://schemas.openxmlformats.org/markup-compatibility/2006" xmlns:a14="http://schemas.microsoft.com/office/drawing/2010/main">
      <mc:Choice Requires="a14">
        <xdr:graphicFrame macro="">
          <xdr:nvGraphicFramePr>
            <xdr:cNvPr id="4" name="Credit_History">
              <a:extLst>
                <a:ext uri="{FF2B5EF4-FFF2-40B4-BE49-F238E27FC236}">
                  <a16:creationId xmlns:a16="http://schemas.microsoft.com/office/drawing/2014/main" id="{AD7AF7A3-0B7C-4C1F-A9AB-544DACED8C13}"/>
                </a:ext>
              </a:extLst>
            </xdr:cNvPr>
            <xdr:cNvGraphicFramePr/>
          </xdr:nvGraphicFramePr>
          <xdr:xfrm>
            <a:off x="0" y="0"/>
            <a:ext cx="0" cy="0"/>
          </xdr:xfrm>
          <a:graphic>
            <a:graphicData uri="http://schemas.microsoft.com/office/drawing/2010/slicer">
              <sle:slicer xmlns:sle="http://schemas.microsoft.com/office/drawing/2010/slicer" name="Credit_History"/>
            </a:graphicData>
          </a:graphic>
        </xdr:graphicFrame>
      </mc:Choice>
      <mc:Fallback xmlns="">
        <xdr:sp macro="" textlink="">
          <xdr:nvSpPr>
            <xdr:cNvPr id="0" name=""/>
            <xdr:cNvSpPr>
              <a:spLocks noTextEdit="1"/>
            </xdr:cNvSpPr>
          </xdr:nvSpPr>
          <xdr:spPr>
            <a:xfrm>
              <a:off x="17006272" y="3823862"/>
              <a:ext cx="1865173" cy="1238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23715</xdr:colOff>
      <xdr:row>64</xdr:row>
      <xdr:rowOff>123586</xdr:rowOff>
    </xdr:from>
    <xdr:to>
      <xdr:col>34</xdr:col>
      <xdr:colOff>105079</xdr:colOff>
      <xdr:row>82</xdr:row>
      <xdr:rowOff>65320</xdr:rowOff>
    </xdr:to>
    <xdr:graphicFrame macro="">
      <xdr:nvGraphicFramePr>
        <xdr:cNvPr id="8" name="Chart 7">
          <a:extLst>
            <a:ext uri="{FF2B5EF4-FFF2-40B4-BE49-F238E27FC236}">
              <a16:creationId xmlns:a16="http://schemas.microsoft.com/office/drawing/2014/main" id="{852338F8-BF0C-4ED1-B89A-77CBE07E4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8.762228009262" createdVersion="8" refreshedVersion="8" minRefreshableVersion="3" recordCount="1000" xr:uid="{C0A5E83E-F380-4642-8062-A8F1F24D5235}">
  <cacheSource type="worksheet">
    <worksheetSource name="Bank_Loan_Analysis_Dataset"/>
  </cacheSource>
  <cacheFields count="16">
    <cacheField name="Loan_ID" numFmtId="0">
      <sharedItems count="1000">
        <s v="LP100001"/>
        <s v="LP100002"/>
        <s v="LP100003"/>
        <s v="LP100004"/>
        <s v="LP100005"/>
        <s v="LP100006"/>
        <s v="LP100007"/>
        <s v="LP100008"/>
        <s v="LP100009"/>
        <s v="LP100010"/>
        <s v="LP100011"/>
        <s v="LP100012"/>
        <s v="LP100013"/>
        <s v="LP100014"/>
        <s v="LP100015"/>
        <s v="LP100016"/>
        <s v="LP100017"/>
        <s v="LP100018"/>
        <s v="LP100019"/>
        <s v="LP100020"/>
        <s v="LP100021"/>
        <s v="LP100022"/>
        <s v="LP100023"/>
        <s v="LP100024"/>
        <s v="LP100025"/>
        <s v="LP100026"/>
        <s v="LP100027"/>
        <s v="LP100028"/>
        <s v="LP100029"/>
        <s v="LP100030"/>
        <s v="LP100031"/>
        <s v="LP100032"/>
        <s v="LP100033"/>
        <s v="LP100034"/>
        <s v="LP100035"/>
        <s v="LP100036"/>
        <s v="LP100037"/>
        <s v="LP100038"/>
        <s v="LP100039"/>
        <s v="LP100040"/>
        <s v="LP100041"/>
        <s v="LP100042"/>
        <s v="LP100043"/>
        <s v="LP100044"/>
        <s v="LP100045"/>
        <s v="LP100046"/>
        <s v="LP100047"/>
        <s v="LP100048"/>
        <s v="LP100049"/>
        <s v="LP100050"/>
        <s v="LP100051"/>
        <s v="LP100052"/>
        <s v="LP100053"/>
        <s v="LP100054"/>
        <s v="LP100055"/>
        <s v="LP100056"/>
        <s v="LP100057"/>
        <s v="LP100058"/>
        <s v="LP100059"/>
        <s v="LP100060"/>
        <s v="LP100061"/>
        <s v="LP100062"/>
        <s v="LP100063"/>
        <s v="LP100064"/>
        <s v="LP100065"/>
        <s v="LP100066"/>
        <s v="LP100067"/>
        <s v="LP100068"/>
        <s v="LP100069"/>
        <s v="LP100070"/>
        <s v="LP100071"/>
        <s v="LP100072"/>
        <s v="LP100073"/>
        <s v="LP100074"/>
        <s v="LP100075"/>
        <s v="LP100076"/>
        <s v="LP100077"/>
        <s v="LP100078"/>
        <s v="LP100079"/>
        <s v="LP100080"/>
        <s v="LP100081"/>
        <s v="LP100082"/>
        <s v="LP100083"/>
        <s v="LP100084"/>
        <s v="LP100085"/>
        <s v="LP100086"/>
        <s v="LP100087"/>
        <s v="LP100088"/>
        <s v="LP100089"/>
        <s v="LP100090"/>
        <s v="LP100091"/>
        <s v="LP100092"/>
        <s v="LP100093"/>
        <s v="LP100094"/>
        <s v="LP100095"/>
        <s v="LP100096"/>
        <s v="LP100097"/>
        <s v="LP100098"/>
        <s v="LP100099"/>
        <s v="LP100100"/>
        <s v="LP100101"/>
        <s v="LP100102"/>
        <s v="LP100103"/>
        <s v="LP100104"/>
        <s v="LP100105"/>
        <s v="LP100106"/>
        <s v="LP100107"/>
        <s v="LP100108"/>
        <s v="LP100109"/>
        <s v="LP100110"/>
        <s v="LP100111"/>
        <s v="LP100112"/>
        <s v="LP100113"/>
        <s v="LP100114"/>
        <s v="LP100115"/>
        <s v="LP100116"/>
        <s v="LP100117"/>
        <s v="LP100118"/>
        <s v="LP100119"/>
        <s v="LP100120"/>
        <s v="LP100121"/>
        <s v="LP100122"/>
        <s v="LP100123"/>
        <s v="LP100124"/>
        <s v="LP100125"/>
        <s v="LP100126"/>
        <s v="LP100127"/>
        <s v="LP100128"/>
        <s v="LP100129"/>
        <s v="LP100130"/>
        <s v="LP100131"/>
        <s v="LP100132"/>
        <s v="LP100133"/>
        <s v="LP100134"/>
        <s v="LP100135"/>
        <s v="LP100136"/>
        <s v="LP100137"/>
        <s v="LP100138"/>
        <s v="LP100139"/>
        <s v="LP100140"/>
        <s v="LP100141"/>
        <s v="LP100142"/>
        <s v="LP100143"/>
        <s v="LP100144"/>
        <s v="LP100145"/>
        <s v="LP100146"/>
        <s v="LP100147"/>
        <s v="LP100148"/>
        <s v="LP100149"/>
        <s v="LP100150"/>
        <s v="LP100151"/>
        <s v="LP100152"/>
        <s v="LP100153"/>
        <s v="LP100154"/>
        <s v="LP100155"/>
        <s v="LP100156"/>
        <s v="LP100157"/>
        <s v="LP100158"/>
        <s v="LP100159"/>
        <s v="LP100160"/>
        <s v="LP100161"/>
        <s v="LP100162"/>
        <s v="LP100163"/>
        <s v="LP100164"/>
        <s v="LP100165"/>
        <s v="LP100166"/>
        <s v="LP100167"/>
        <s v="LP100168"/>
        <s v="LP100169"/>
        <s v="LP100170"/>
        <s v="LP100171"/>
        <s v="LP100172"/>
        <s v="LP100173"/>
        <s v="LP100174"/>
        <s v="LP100175"/>
        <s v="LP100176"/>
        <s v="LP100177"/>
        <s v="LP100178"/>
        <s v="LP100179"/>
        <s v="LP100180"/>
        <s v="LP100181"/>
        <s v="LP100182"/>
        <s v="LP100183"/>
        <s v="LP100184"/>
        <s v="LP100185"/>
        <s v="LP100186"/>
        <s v="LP100187"/>
        <s v="LP100188"/>
        <s v="LP100189"/>
        <s v="LP100190"/>
        <s v="LP100191"/>
        <s v="LP100192"/>
        <s v="LP100193"/>
        <s v="LP100194"/>
        <s v="LP100195"/>
        <s v="LP100196"/>
        <s v="LP100197"/>
        <s v="LP100198"/>
        <s v="LP100199"/>
        <s v="LP100200"/>
        <s v="LP100201"/>
        <s v="LP100202"/>
        <s v="LP100203"/>
        <s v="LP100204"/>
        <s v="LP100205"/>
        <s v="LP100206"/>
        <s v="LP100207"/>
        <s v="LP100208"/>
        <s v="LP100209"/>
        <s v="LP100210"/>
        <s v="LP100211"/>
        <s v="LP100212"/>
        <s v="LP100213"/>
        <s v="LP100214"/>
        <s v="LP100215"/>
        <s v="LP100216"/>
        <s v="LP100217"/>
        <s v="LP100218"/>
        <s v="LP100219"/>
        <s v="LP100220"/>
        <s v="LP100221"/>
        <s v="LP100222"/>
        <s v="LP100223"/>
        <s v="LP100224"/>
        <s v="LP100225"/>
        <s v="LP100226"/>
        <s v="LP100227"/>
        <s v="LP100228"/>
        <s v="LP100229"/>
        <s v="LP100230"/>
        <s v="LP100231"/>
        <s v="LP100232"/>
        <s v="LP100233"/>
        <s v="LP100234"/>
        <s v="LP100235"/>
        <s v="LP100236"/>
        <s v="LP100237"/>
        <s v="LP100238"/>
        <s v="LP100239"/>
        <s v="LP100240"/>
        <s v="LP100241"/>
        <s v="LP100242"/>
        <s v="LP100243"/>
        <s v="LP100244"/>
        <s v="LP100245"/>
        <s v="LP100246"/>
        <s v="LP100247"/>
        <s v="LP100248"/>
        <s v="LP100249"/>
        <s v="LP100250"/>
        <s v="LP100251"/>
        <s v="LP100252"/>
        <s v="LP100253"/>
        <s v="LP100254"/>
        <s v="LP100255"/>
        <s v="LP100256"/>
        <s v="LP100257"/>
        <s v="LP100258"/>
        <s v="LP100259"/>
        <s v="LP100260"/>
        <s v="LP100261"/>
        <s v="LP100262"/>
        <s v="LP100263"/>
        <s v="LP100264"/>
        <s v="LP100265"/>
        <s v="LP100266"/>
        <s v="LP100267"/>
        <s v="LP100268"/>
        <s v="LP100269"/>
        <s v="LP100270"/>
        <s v="LP100271"/>
        <s v="LP100272"/>
        <s v="LP100273"/>
        <s v="LP100274"/>
        <s v="LP100275"/>
        <s v="LP100276"/>
        <s v="LP100277"/>
        <s v="LP100278"/>
        <s v="LP100279"/>
        <s v="LP100280"/>
        <s v="LP100281"/>
        <s v="LP100282"/>
        <s v="LP100283"/>
        <s v="LP100284"/>
        <s v="LP100285"/>
        <s v="LP100286"/>
        <s v="LP100287"/>
        <s v="LP100288"/>
        <s v="LP100289"/>
        <s v="LP100290"/>
        <s v="LP100291"/>
        <s v="LP100292"/>
        <s v="LP100293"/>
        <s v="LP100294"/>
        <s v="LP100295"/>
        <s v="LP100296"/>
        <s v="LP100297"/>
        <s v="LP100298"/>
        <s v="LP100299"/>
        <s v="LP100300"/>
        <s v="LP100301"/>
        <s v="LP100302"/>
        <s v="LP100303"/>
        <s v="LP100304"/>
        <s v="LP100305"/>
        <s v="LP100306"/>
        <s v="LP100307"/>
        <s v="LP100308"/>
        <s v="LP100309"/>
        <s v="LP100310"/>
        <s v="LP100311"/>
        <s v="LP100312"/>
        <s v="LP100313"/>
        <s v="LP100314"/>
        <s v="LP100315"/>
        <s v="LP100316"/>
        <s v="LP100317"/>
        <s v="LP100318"/>
        <s v="LP100319"/>
        <s v="LP100320"/>
        <s v="LP100321"/>
        <s v="LP100322"/>
        <s v="LP100323"/>
        <s v="LP100324"/>
        <s v="LP100325"/>
        <s v="LP100326"/>
        <s v="LP100327"/>
        <s v="LP100328"/>
        <s v="LP100329"/>
        <s v="LP100330"/>
        <s v="LP100331"/>
        <s v="LP100332"/>
        <s v="LP100333"/>
        <s v="LP100334"/>
        <s v="LP100335"/>
        <s v="LP100336"/>
        <s v="LP100337"/>
        <s v="LP100338"/>
        <s v="LP100339"/>
        <s v="LP100340"/>
        <s v="LP100341"/>
        <s v="LP100342"/>
        <s v="LP100343"/>
        <s v="LP100344"/>
        <s v="LP100345"/>
        <s v="LP100346"/>
        <s v="LP100347"/>
        <s v="LP100348"/>
        <s v="LP100349"/>
        <s v="LP100350"/>
        <s v="LP100351"/>
        <s v="LP100352"/>
        <s v="LP100353"/>
        <s v="LP100354"/>
        <s v="LP100355"/>
        <s v="LP100356"/>
        <s v="LP100357"/>
        <s v="LP100358"/>
        <s v="LP100359"/>
        <s v="LP100360"/>
        <s v="LP100361"/>
        <s v="LP100362"/>
        <s v="LP100363"/>
        <s v="LP100364"/>
        <s v="LP100365"/>
        <s v="LP100366"/>
        <s v="LP100367"/>
        <s v="LP100368"/>
        <s v="LP100369"/>
        <s v="LP100370"/>
        <s v="LP100371"/>
        <s v="LP100372"/>
        <s v="LP100373"/>
        <s v="LP100374"/>
        <s v="LP100375"/>
        <s v="LP100376"/>
        <s v="LP100377"/>
        <s v="LP100378"/>
        <s v="LP100379"/>
        <s v="LP100380"/>
        <s v="LP100381"/>
        <s v="LP100382"/>
        <s v="LP100383"/>
        <s v="LP100384"/>
        <s v="LP100385"/>
        <s v="LP100386"/>
        <s v="LP100387"/>
        <s v="LP100388"/>
        <s v="LP100389"/>
        <s v="LP100390"/>
        <s v="LP100391"/>
        <s v="LP100392"/>
        <s v="LP100393"/>
        <s v="LP100394"/>
        <s v="LP100395"/>
        <s v="LP100396"/>
        <s v="LP100397"/>
        <s v="LP100398"/>
        <s v="LP100399"/>
        <s v="LP100400"/>
        <s v="LP100401"/>
        <s v="LP100402"/>
        <s v="LP100403"/>
        <s v="LP100404"/>
        <s v="LP100405"/>
        <s v="LP100406"/>
        <s v="LP100407"/>
        <s v="LP100408"/>
        <s v="LP100409"/>
        <s v="LP100410"/>
        <s v="LP100411"/>
        <s v="LP100412"/>
        <s v="LP100413"/>
        <s v="LP100414"/>
        <s v="LP100415"/>
        <s v="LP100416"/>
        <s v="LP100417"/>
        <s v="LP100418"/>
        <s v="LP100419"/>
        <s v="LP100420"/>
        <s v="LP100421"/>
        <s v="LP100422"/>
        <s v="LP100423"/>
        <s v="LP100424"/>
        <s v="LP100425"/>
        <s v="LP100426"/>
        <s v="LP100427"/>
        <s v="LP100428"/>
        <s v="LP100429"/>
        <s v="LP100430"/>
        <s v="LP100431"/>
        <s v="LP100432"/>
        <s v="LP100433"/>
        <s v="LP100434"/>
        <s v="LP100435"/>
        <s v="LP100436"/>
        <s v="LP100437"/>
        <s v="LP100438"/>
        <s v="LP100439"/>
        <s v="LP100440"/>
        <s v="LP100441"/>
        <s v="LP100442"/>
        <s v="LP100443"/>
        <s v="LP100444"/>
        <s v="LP100445"/>
        <s v="LP100446"/>
        <s v="LP100447"/>
        <s v="LP100448"/>
        <s v="LP100449"/>
        <s v="LP100450"/>
        <s v="LP100451"/>
        <s v="LP100452"/>
        <s v="LP100453"/>
        <s v="LP100454"/>
        <s v="LP100455"/>
        <s v="LP100456"/>
        <s v="LP100457"/>
        <s v="LP100458"/>
        <s v="LP100459"/>
        <s v="LP100460"/>
        <s v="LP100461"/>
        <s v="LP100462"/>
        <s v="LP100463"/>
        <s v="LP100464"/>
        <s v="LP100465"/>
        <s v="LP100466"/>
        <s v="LP100467"/>
        <s v="LP100468"/>
        <s v="LP100469"/>
        <s v="LP100470"/>
        <s v="LP100471"/>
        <s v="LP100472"/>
        <s v="LP100473"/>
        <s v="LP100474"/>
        <s v="LP100475"/>
        <s v="LP100476"/>
        <s v="LP100477"/>
        <s v="LP100478"/>
        <s v="LP100479"/>
        <s v="LP100480"/>
        <s v="LP100481"/>
        <s v="LP100482"/>
        <s v="LP100483"/>
        <s v="LP100484"/>
        <s v="LP100485"/>
        <s v="LP100486"/>
        <s v="LP100487"/>
        <s v="LP100488"/>
        <s v="LP100489"/>
        <s v="LP100490"/>
        <s v="LP100491"/>
        <s v="LP100492"/>
        <s v="LP100493"/>
        <s v="LP100494"/>
        <s v="LP100495"/>
        <s v="LP100496"/>
        <s v="LP100497"/>
        <s v="LP100498"/>
        <s v="LP100499"/>
        <s v="LP100500"/>
        <s v="LP100501"/>
        <s v="LP100502"/>
        <s v="LP100503"/>
        <s v="LP100504"/>
        <s v="LP100505"/>
        <s v="LP100506"/>
        <s v="LP100507"/>
        <s v="LP100508"/>
        <s v="LP100509"/>
        <s v="LP100510"/>
        <s v="LP100511"/>
        <s v="LP100512"/>
        <s v="LP100513"/>
        <s v="LP100514"/>
        <s v="LP100515"/>
        <s v="LP100516"/>
        <s v="LP100517"/>
        <s v="LP100518"/>
        <s v="LP100519"/>
        <s v="LP100520"/>
        <s v="LP100521"/>
        <s v="LP100522"/>
        <s v="LP100523"/>
        <s v="LP100524"/>
        <s v="LP100525"/>
        <s v="LP100526"/>
        <s v="LP100527"/>
        <s v="LP100528"/>
        <s v="LP100529"/>
        <s v="LP100530"/>
        <s v="LP100531"/>
        <s v="LP100532"/>
        <s v="LP100533"/>
        <s v="LP100534"/>
        <s v="LP100535"/>
        <s v="LP100536"/>
        <s v="LP100537"/>
        <s v="LP100538"/>
        <s v="LP100539"/>
        <s v="LP100540"/>
        <s v="LP100541"/>
        <s v="LP100542"/>
        <s v="LP100543"/>
        <s v="LP100544"/>
        <s v="LP100545"/>
        <s v="LP100546"/>
        <s v="LP100547"/>
        <s v="LP100548"/>
        <s v="LP100549"/>
        <s v="LP100550"/>
        <s v="LP100551"/>
        <s v="LP100552"/>
        <s v="LP100553"/>
        <s v="LP100554"/>
        <s v="LP100555"/>
        <s v="LP100556"/>
        <s v="LP100557"/>
        <s v="LP100558"/>
        <s v="LP100559"/>
        <s v="LP100560"/>
        <s v="LP100561"/>
        <s v="LP100562"/>
        <s v="LP100563"/>
        <s v="LP100564"/>
        <s v="LP100565"/>
        <s v="LP100566"/>
        <s v="LP100567"/>
        <s v="LP100568"/>
        <s v="LP100569"/>
        <s v="LP100570"/>
        <s v="LP100571"/>
        <s v="LP100572"/>
        <s v="LP100573"/>
        <s v="LP100574"/>
        <s v="LP100575"/>
        <s v="LP100576"/>
        <s v="LP100577"/>
        <s v="LP100578"/>
        <s v="LP100579"/>
        <s v="LP100580"/>
        <s v="LP100581"/>
        <s v="LP100582"/>
        <s v="LP100583"/>
        <s v="LP100584"/>
        <s v="LP100585"/>
        <s v="LP100586"/>
        <s v="LP100587"/>
        <s v="LP100588"/>
        <s v="LP100589"/>
        <s v="LP100590"/>
        <s v="LP100591"/>
        <s v="LP100592"/>
        <s v="LP100593"/>
        <s v="LP100594"/>
        <s v="LP100595"/>
        <s v="LP100596"/>
        <s v="LP100597"/>
        <s v="LP100598"/>
        <s v="LP100599"/>
        <s v="LP100600"/>
        <s v="LP100601"/>
        <s v="LP100602"/>
        <s v="LP100603"/>
        <s v="LP100604"/>
        <s v="LP100605"/>
        <s v="LP100606"/>
        <s v="LP100607"/>
        <s v="LP100608"/>
        <s v="LP100609"/>
        <s v="LP100610"/>
        <s v="LP100611"/>
        <s v="LP100612"/>
        <s v="LP100613"/>
        <s v="LP100614"/>
        <s v="LP100615"/>
        <s v="LP100616"/>
        <s v="LP100617"/>
        <s v="LP100618"/>
        <s v="LP100619"/>
        <s v="LP100620"/>
        <s v="LP100621"/>
        <s v="LP100622"/>
        <s v="LP100623"/>
        <s v="LP100624"/>
        <s v="LP100625"/>
        <s v="LP100626"/>
        <s v="LP100627"/>
        <s v="LP100628"/>
        <s v="LP100629"/>
        <s v="LP100630"/>
        <s v="LP100631"/>
        <s v="LP100632"/>
        <s v="LP100633"/>
        <s v="LP100634"/>
        <s v="LP100635"/>
        <s v="LP100636"/>
        <s v="LP100637"/>
        <s v="LP100638"/>
        <s v="LP100639"/>
        <s v="LP100640"/>
        <s v="LP100641"/>
        <s v="LP100642"/>
        <s v="LP100643"/>
        <s v="LP100644"/>
        <s v="LP100645"/>
        <s v="LP100646"/>
        <s v="LP100647"/>
        <s v="LP100648"/>
        <s v="LP100649"/>
        <s v="LP100650"/>
        <s v="LP100651"/>
        <s v="LP100652"/>
        <s v="LP100653"/>
        <s v="LP100654"/>
        <s v="LP100655"/>
        <s v="LP100656"/>
        <s v="LP100657"/>
        <s v="LP100658"/>
        <s v="LP100659"/>
        <s v="LP100660"/>
        <s v="LP100661"/>
        <s v="LP100662"/>
        <s v="LP100663"/>
        <s v="LP100664"/>
        <s v="LP100665"/>
        <s v="LP100666"/>
        <s v="LP100667"/>
        <s v="LP100668"/>
        <s v="LP100669"/>
        <s v="LP100670"/>
        <s v="LP100671"/>
        <s v="LP100672"/>
        <s v="LP100673"/>
        <s v="LP100674"/>
        <s v="LP100675"/>
        <s v="LP100676"/>
        <s v="LP100677"/>
        <s v="LP100678"/>
        <s v="LP100679"/>
        <s v="LP100680"/>
        <s v="LP100681"/>
        <s v="LP100682"/>
        <s v="LP100683"/>
        <s v="LP100684"/>
        <s v="LP100685"/>
        <s v="LP100686"/>
        <s v="LP100687"/>
        <s v="LP100688"/>
        <s v="LP100689"/>
        <s v="LP100690"/>
        <s v="LP100691"/>
        <s v="LP100692"/>
        <s v="LP100693"/>
        <s v="LP100694"/>
        <s v="LP100695"/>
        <s v="LP100696"/>
        <s v="LP100697"/>
        <s v="LP100698"/>
        <s v="LP100699"/>
        <s v="LP100700"/>
        <s v="LP100701"/>
        <s v="LP100702"/>
        <s v="LP100703"/>
        <s v="LP100704"/>
        <s v="LP100705"/>
        <s v="LP100706"/>
        <s v="LP100707"/>
        <s v="LP100708"/>
        <s v="LP100709"/>
        <s v="LP100710"/>
        <s v="LP100711"/>
        <s v="LP100712"/>
        <s v="LP100713"/>
        <s v="LP100714"/>
        <s v="LP100715"/>
        <s v="LP100716"/>
        <s v="LP100717"/>
        <s v="LP100718"/>
        <s v="LP100719"/>
        <s v="LP100720"/>
        <s v="LP100721"/>
        <s v="LP100722"/>
        <s v="LP100723"/>
        <s v="LP100724"/>
        <s v="LP100725"/>
        <s v="LP100726"/>
        <s v="LP100727"/>
        <s v="LP100728"/>
        <s v="LP100729"/>
        <s v="LP100730"/>
        <s v="LP100731"/>
        <s v="LP100732"/>
        <s v="LP100733"/>
        <s v="LP100734"/>
        <s v="LP100735"/>
        <s v="LP100736"/>
        <s v="LP100737"/>
        <s v="LP100738"/>
        <s v="LP100739"/>
        <s v="LP100740"/>
        <s v="LP100741"/>
        <s v="LP100742"/>
        <s v="LP100743"/>
        <s v="LP100744"/>
        <s v="LP100745"/>
        <s v="LP100746"/>
        <s v="LP100747"/>
        <s v="LP100748"/>
        <s v="LP100749"/>
        <s v="LP100750"/>
        <s v="LP100751"/>
        <s v="LP100752"/>
        <s v="LP100753"/>
        <s v="LP100754"/>
        <s v="LP100755"/>
        <s v="LP100756"/>
        <s v="LP100757"/>
        <s v="LP100758"/>
        <s v="LP100759"/>
        <s v="LP100760"/>
        <s v="LP100761"/>
        <s v="LP100762"/>
        <s v="LP100763"/>
        <s v="LP100764"/>
        <s v="LP100765"/>
        <s v="LP100766"/>
        <s v="LP100767"/>
        <s v="LP100768"/>
        <s v="LP100769"/>
        <s v="LP100770"/>
        <s v="LP100771"/>
        <s v="LP100772"/>
        <s v="LP100773"/>
        <s v="LP100774"/>
        <s v="LP100775"/>
        <s v="LP100776"/>
        <s v="LP100777"/>
        <s v="LP100778"/>
        <s v="LP100779"/>
        <s v="LP100780"/>
        <s v="LP100781"/>
        <s v="LP100782"/>
        <s v="LP100783"/>
        <s v="LP100784"/>
        <s v="LP100785"/>
        <s v="LP100786"/>
        <s v="LP100787"/>
        <s v="LP100788"/>
        <s v="LP100789"/>
        <s v="LP100790"/>
        <s v="LP100791"/>
        <s v="LP100792"/>
        <s v="LP100793"/>
        <s v="LP100794"/>
        <s v="LP100795"/>
        <s v="LP100796"/>
        <s v="LP100797"/>
        <s v="LP100798"/>
        <s v="LP100799"/>
        <s v="LP100800"/>
        <s v="LP100801"/>
        <s v="LP100802"/>
        <s v="LP100803"/>
        <s v="LP100804"/>
        <s v="LP100805"/>
        <s v="LP100806"/>
        <s v="LP100807"/>
        <s v="LP100808"/>
        <s v="LP100809"/>
        <s v="LP100810"/>
        <s v="LP100811"/>
        <s v="LP100812"/>
        <s v="LP100813"/>
        <s v="LP100814"/>
        <s v="LP100815"/>
        <s v="LP100816"/>
        <s v="LP100817"/>
        <s v="LP100818"/>
        <s v="LP100819"/>
        <s v="LP100820"/>
        <s v="LP100821"/>
        <s v="LP100822"/>
        <s v="LP100823"/>
        <s v="LP100824"/>
        <s v="LP100825"/>
        <s v="LP100826"/>
        <s v="LP100827"/>
        <s v="LP100828"/>
        <s v="LP100829"/>
        <s v="LP100830"/>
        <s v="LP100831"/>
        <s v="LP100832"/>
        <s v="LP100833"/>
        <s v="LP100834"/>
        <s v="LP100835"/>
        <s v="LP100836"/>
        <s v="LP100837"/>
        <s v="LP100838"/>
        <s v="LP100839"/>
        <s v="LP100840"/>
        <s v="LP100841"/>
        <s v="LP100842"/>
        <s v="LP100843"/>
        <s v="LP100844"/>
        <s v="LP100845"/>
        <s v="LP100846"/>
        <s v="LP100847"/>
        <s v="LP100848"/>
        <s v="LP100849"/>
        <s v="LP100850"/>
        <s v="LP100851"/>
        <s v="LP100852"/>
        <s v="LP100853"/>
        <s v="LP100854"/>
        <s v="LP100855"/>
        <s v="LP100856"/>
        <s v="LP100857"/>
        <s v="LP100858"/>
        <s v="LP100859"/>
        <s v="LP100860"/>
        <s v="LP100861"/>
        <s v="LP100862"/>
        <s v="LP100863"/>
        <s v="LP100864"/>
        <s v="LP100865"/>
        <s v="LP100866"/>
        <s v="LP100867"/>
        <s v="LP100868"/>
        <s v="LP100869"/>
        <s v="LP100870"/>
        <s v="LP100871"/>
        <s v="LP100872"/>
        <s v="LP100873"/>
        <s v="LP100874"/>
        <s v="LP100875"/>
        <s v="LP100876"/>
        <s v="LP100877"/>
        <s v="LP100878"/>
        <s v="LP100879"/>
        <s v="LP100880"/>
        <s v="LP100881"/>
        <s v="LP100882"/>
        <s v="LP100883"/>
        <s v="LP100884"/>
        <s v="LP100885"/>
        <s v="LP100886"/>
        <s v="LP100887"/>
        <s v="LP100888"/>
        <s v="LP100889"/>
        <s v="LP100890"/>
        <s v="LP100891"/>
        <s v="LP100892"/>
        <s v="LP100893"/>
        <s v="LP100894"/>
        <s v="LP100895"/>
        <s v="LP100896"/>
        <s v="LP100897"/>
        <s v="LP100898"/>
        <s v="LP100899"/>
        <s v="LP100900"/>
        <s v="LP100901"/>
        <s v="LP100902"/>
        <s v="LP100903"/>
        <s v="LP100904"/>
        <s v="LP100905"/>
        <s v="LP100906"/>
        <s v="LP100907"/>
        <s v="LP100908"/>
        <s v="LP100909"/>
        <s v="LP100910"/>
        <s v="LP100911"/>
        <s v="LP100912"/>
        <s v="LP100913"/>
        <s v="LP100914"/>
        <s v="LP100915"/>
        <s v="LP100916"/>
        <s v="LP100917"/>
        <s v="LP100918"/>
        <s v="LP100919"/>
        <s v="LP100920"/>
        <s v="LP100921"/>
        <s v="LP100922"/>
        <s v="LP100923"/>
        <s v="LP100924"/>
        <s v="LP100925"/>
        <s v="LP100926"/>
        <s v="LP100927"/>
        <s v="LP100928"/>
        <s v="LP100929"/>
        <s v="LP100930"/>
        <s v="LP100931"/>
        <s v="LP100932"/>
        <s v="LP100933"/>
        <s v="LP100934"/>
        <s v="LP100935"/>
        <s v="LP100936"/>
        <s v="LP100937"/>
        <s v="LP100938"/>
        <s v="LP100939"/>
        <s v="LP100940"/>
        <s v="LP100941"/>
        <s v="LP100942"/>
        <s v="LP100943"/>
        <s v="LP100944"/>
        <s v="LP100945"/>
        <s v="LP100946"/>
        <s v="LP100947"/>
        <s v="LP100948"/>
        <s v="LP100949"/>
        <s v="LP100950"/>
        <s v="LP100951"/>
        <s v="LP100952"/>
        <s v="LP100953"/>
        <s v="LP100954"/>
        <s v="LP100955"/>
        <s v="LP100956"/>
        <s v="LP100957"/>
        <s v="LP100958"/>
        <s v="LP100959"/>
        <s v="LP100960"/>
        <s v="LP100961"/>
        <s v="LP100962"/>
        <s v="LP100963"/>
        <s v="LP100964"/>
        <s v="LP100965"/>
        <s v="LP100966"/>
        <s v="LP100967"/>
        <s v="LP100968"/>
        <s v="LP100969"/>
        <s v="LP100970"/>
        <s v="LP100971"/>
        <s v="LP100972"/>
        <s v="LP100973"/>
        <s v="LP100974"/>
        <s v="LP100975"/>
        <s v="LP100976"/>
        <s v="LP100977"/>
        <s v="LP100978"/>
        <s v="LP100979"/>
        <s v="LP100980"/>
        <s v="LP100981"/>
        <s v="LP100982"/>
        <s v="LP100983"/>
        <s v="LP100984"/>
        <s v="LP100985"/>
        <s v="LP100986"/>
        <s v="LP100987"/>
        <s v="LP100988"/>
        <s v="LP100989"/>
        <s v="LP100990"/>
        <s v="LP100991"/>
        <s v="LP100992"/>
        <s v="LP100993"/>
        <s v="LP100994"/>
        <s v="LP100995"/>
        <s v="LP100996"/>
        <s v="LP100997"/>
        <s v="LP100998"/>
        <s v="LP100999"/>
        <s v="LP101000"/>
      </sharedItems>
    </cacheField>
    <cacheField name="Gender" numFmtId="0">
      <sharedItems count="2">
        <s v="Male"/>
        <s v="Female"/>
      </sharedItems>
    </cacheField>
    <cacheField name="Married" numFmtId="0">
      <sharedItems/>
    </cacheField>
    <cacheField name="Dependents" numFmtId="0">
      <sharedItems count="4">
        <s v="2"/>
        <s v="1"/>
        <s v="0"/>
        <s v="3"/>
      </sharedItems>
    </cacheField>
    <cacheField name="Education" numFmtId="0">
      <sharedItems count="2">
        <s v="Graduate"/>
        <s v="Not Graduate"/>
      </sharedItems>
    </cacheField>
    <cacheField name="Self_Employed" numFmtId="0">
      <sharedItems/>
    </cacheField>
    <cacheField name="Applicant Income" numFmtId="0">
      <sharedItems containsSemiMixedTypes="0" containsString="0" containsNumber="1" containsInteger="1" minValue="1522" maxValue="24987"/>
    </cacheField>
    <cacheField name="Co-applicant Income" numFmtId="0">
      <sharedItems containsSemiMixedTypes="0" containsString="0" containsNumber="1" containsInteger="1" minValue="0" maxValue="14959"/>
    </cacheField>
    <cacheField name="Loan Amount" numFmtId="0">
      <sharedItems containsSemiMixedTypes="0" containsString="0" containsNumber="1" containsInteger="1" minValue="51" maxValue="700"/>
    </cacheField>
    <cacheField name="Loan_Amount_Term" numFmtId="0">
      <sharedItems containsSemiMixedTypes="0" containsString="0" containsNumber="1" containsInteger="1" minValue="120" maxValue="360"/>
    </cacheField>
    <cacheField name="Credit_History" numFmtId="0">
      <sharedItems containsSemiMixedTypes="0" containsString="0" containsNumber="1" containsInteger="1" minValue="0" maxValue="1" count="2">
        <n v="1"/>
        <n v="0"/>
      </sharedItems>
    </cacheField>
    <cacheField name="Property_Area" numFmtId="0">
      <sharedItems count="3">
        <s v="Urban"/>
        <s v="Semiurban"/>
        <s v="Rural"/>
      </sharedItems>
    </cacheField>
    <cacheField name="Loan_Status" numFmtId="0">
      <sharedItems count="2">
        <s v="Approved"/>
        <s v="Rejected"/>
      </sharedItems>
    </cacheField>
    <cacheField name="Total Income" numFmtId="0">
      <sharedItems containsSemiMixedTypes="0" containsString="0" containsNumber="1" containsInteger="1" minValue="1522" maxValue="38865"/>
    </cacheField>
    <cacheField name="Income Group" numFmtId="0">
      <sharedItems/>
    </cacheField>
    <cacheField name="Risk Category" numFmtId="0">
      <sharedItems/>
    </cacheField>
  </cacheFields>
  <extLst>
    <ext xmlns:x14="http://schemas.microsoft.com/office/spreadsheetml/2009/9/main" uri="{725AE2AE-9491-48be-B2B4-4EB974FC3084}">
      <x14:pivotCacheDefinition pivotCacheId="944446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Yes"/>
    <x v="0"/>
    <x v="0"/>
    <s v="Yes"/>
    <n v="6072"/>
    <n v="0"/>
    <n v="608"/>
    <n v="120"/>
    <x v="0"/>
    <x v="0"/>
    <x v="0"/>
    <n v="6072"/>
    <s v="Medium"/>
    <s v="Low Risk"/>
  </r>
  <r>
    <x v="1"/>
    <x v="0"/>
    <s v="Yes"/>
    <x v="1"/>
    <x v="0"/>
    <s v="Yes"/>
    <n v="19890"/>
    <n v="3757"/>
    <n v="275"/>
    <n v="300"/>
    <x v="0"/>
    <x v="0"/>
    <x v="0"/>
    <n v="23647"/>
    <s v="High"/>
    <s v="Low Risk"/>
  </r>
  <r>
    <x v="2"/>
    <x v="0"/>
    <s v="No"/>
    <x v="0"/>
    <x v="1"/>
    <s v="Yes"/>
    <n v="8555"/>
    <n v="13009"/>
    <n v="154"/>
    <n v="120"/>
    <x v="0"/>
    <x v="1"/>
    <x v="0"/>
    <n v="21564"/>
    <s v="High"/>
    <s v="Low Risk"/>
  </r>
  <r>
    <x v="3"/>
    <x v="1"/>
    <s v="No"/>
    <x v="2"/>
    <x v="1"/>
    <s v="Yes"/>
    <n v="13903"/>
    <n v="1791"/>
    <n v="693"/>
    <n v="360"/>
    <x v="1"/>
    <x v="1"/>
    <x v="0"/>
    <n v="15694"/>
    <s v="High"/>
    <s v="High Risk"/>
  </r>
  <r>
    <x v="4"/>
    <x v="0"/>
    <s v="Yes"/>
    <x v="2"/>
    <x v="0"/>
    <s v="No"/>
    <n v="4114"/>
    <n v="0"/>
    <n v="153"/>
    <n v="300"/>
    <x v="0"/>
    <x v="2"/>
    <x v="0"/>
    <n v="4114"/>
    <s v="Low"/>
    <s v="Low Risk"/>
  </r>
  <r>
    <x v="5"/>
    <x v="1"/>
    <s v="Yes"/>
    <x v="0"/>
    <x v="1"/>
    <s v="Yes"/>
    <n v="23460"/>
    <n v="0"/>
    <n v="673"/>
    <n v="180"/>
    <x v="0"/>
    <x v="0"/>
    <x v="0"/>
    <n v="23460"/>
    <s v="High"/>
    <s v="Low Risk"/>
  </r>
  <r>
    <x v="6"/>
    <x v="0"/>
    <s v="No"/>
    <x v="3"/>
    <x v="1"/>
    <s v="Yes"/>
    <n v="23933"/>
    <n v="0"/>
    <n v="284"/>
    <n v="120"/>
    <x v="1"/>
    <x v="1"/>
    <x v="0"/>
    <n v="23933"/>
    <s v="High"/>
    <s v="High Risk"/>
  </r>
  <r>
    <x v="7"/>
    <x v="1"/>
    <s v="Yes"/>
    <x v="1"/>
    <x v="1"/>
    <s v="Yes"/>
    <n v="22977"/>
    <n v="8679"/>
    <n v="519"/>
    <n v="180"/>
    <x v="0"/>
    <x v="0"/>
    <x v="0"/>
    <n v="31656"/>
    <s v="High"/>
    <s v="Low Risk"/>
  </r>
  <r>
    <x v="8"/>
    <x v="1"/>
    <s v="No"/>
    <x v="3"/>
    <x v="1"/>
    <s v="Yes"/>
    <n v="6032"/>
    <n v="8848"/>
    <n v="143"/>
    <n v="120"/>
    <x v="1"/>
    <x v="0"/>
    <x v="0"/>
    <n v="14880"/>
    <s v="High"/>
    <s v="High Risk"/>
  </r>
  <r>
    <x v="9"/>
    <x v="0"/>
    <s v="No"/>
    <x v="2"/>
    <x v="1"/>
    <s v="No"/>
    <n v="21026"/>
    <n v="8168"/>
    <n v="616"/>
    <n v="120"/>
    <x v="0"/>
    <x v="0"/>
    <x v="0"/>
    <n v="29194"/>
    <s v="High"/>
    <s v="Low Risk"/>
  </r>
  <r>
    <x v="10"/>
    <x v="1"/>
    <s v="No"/>
    <x v="2"/>
    <x v="1"/>
    <s v="No"/>
    <n v="6682"/>
    <n v="0"/>
    <n v="319"/>
    <n v="360"/>
    <x v="0"/>
    <x v="2"/>
    <x v="0"/>
    <n v="6682"/>
    <s v="Medium"/>
    <s v="Low Risk"/>
  </r>
  <r>
    <x v="11"/>
    <x v="0"/>
    <s v="No"/>
    <x v="1"/>
    <x v="0"/>
    <s v="No"/>
    <n v="6793"/>
    <n v="0"/>
    <n v="663"/>
    <n v="240"/>
    <x v="0"/>
    <x v="0"/>
    <x v="0"/>
    <n v="6793"/>
    <s v="Medium"/>
    <s v="Low Risk"/>
  </r>
  <r>
    <x v="12"/>
    <x v="1"/>
    <s v="No"/>
    <x v="1"/>
    <x v="0"/>
    <s v="Yes"/>
    <n v="20091"/>
    <n v="0"/>
    <n v="547"/>
    <n v="120"/>
    <x v="1"/>
    <x v="2"/>
    <x v="0"/>
    <n v="20091"/>
    <s v="High"/>
    <s v="High Risk"/>
  </r>
  <r>
    <x v="13"/>
    <x v="0"/>
    <s v="Yes"/>
    <x v="3"/>
    <x v="0"/>
    <s v="No"/>
    <n v="18790"/>
    <n v="14793"/>
    <n v="266"/>
    <n v="360"/>
    <x v="0"/>
    <x v="2"/>
    <x v="0"/>
    <n v="33583"/>
    <s v="High"/>
    <s v="Low Risk"/>
  </r>
  <r>
    <x v="14"/>
    <x v="0"/>
    <s v="No"/>
    <x v="3"/>
    <x v="1"/>
    <s v="No"/>
    <n v="18459"/>
    <n v="0"/>
    <n v="303"/>
    <n v="180"/>
    <x v="0"/>
    <x v="0"/>
    <x v="0"/>
    <n v="18459"/>
    <s v="High"/>
    <s v="Low Risk"/>
  </r>
  <r>
    <x v="15"/>
    <x v="0"/>
    <s v="Yes"/>
    <x v="2"/>
    <x v="0"/>
    <s v="Yes"/>
    <n v="9001"/>
    <n v="0"/>
    <n v="388"/>
    <n v="120"/>
    <x v="0"/>
    <x v="1"/>
    <x v="0"/>
    <n v="9001"/>
    <s v="Medium"/>
    <s v="Low Risk"/>
  </r>
  <r>
    <x v="16"/>
    <x v="1"/>
    <s v="Yes"/>
    <x v="1"/>
    <x v="1"/>
    <s v="Yes"/>
    <n v="16998"/>
    <n v="13730"/>
    <n v="244"/>
    <n v="120"/>
    <x v="0"/>
    <x v="1"/>
    <x v="0"/>
    <n v="30728"/>
    <s v="High"/>
    <s v="Low Risk"/>
  </r>
  <r>
    <x v="17"/>
    <x v="1"/>
    <s v="No"/>
    <x v="3"/>
    <x v="1"/>
    <s v="Yes"/>
    <n v="23564"/>
    <n v="0"/>
    <n v="112"/>
    <n v="300"/>
    <x v="0"/>
    <x v="0"/>
    <x v="0"/>
    <n v="23564"/>
    <s v="High"/>
    <s v="Low Risk"/>
  </r>
  <r>
    <x v="18"/>
    <x v="0"/>
    <s v="Yes"/>
    <x v="1"/>
    <x v="1"/>
    <s v="Yes"/>
    <n v="15324"/>
    <n v="3506"/>
    <n v="523"/>
    <n v="180"/>
    <x v="1"/>
    <x v="0"/>
    <x v="0"/>
    <n v="18830"/>
    <s v="High"/>
    <s v="High Risk"/>
  </r>
  <r>
    <x v="19"/>
    <x v="1"/>
    <s v="Yes"/>
    <x v="2"/>
    <x v="0"/>
    <s v="Yes"/>
    <n v="9245"/>
    <n v="3224"/>
    <n v="547"/>
    <n v="300"/>
    <x v="0"/>
    <x v="1"/>
    <x v="0"/>
    <n v="12469"/>
    <s v="High"/>
    <s v="Low Risk"/>
  </r>
  <r>
    <x v="20"/>
    <x v="0"/>
    <s v="Yes"/>
    <x v="3"/>
    <x v="0"/>
    <s v="No"/>
    <n v="10190"/>
    <n v="13346"/>
    <n v="342"/>
    <n v="300"/>
    <x v="0"/>
    <x v="2"/>
    <x v="0"/>
    <n v="23536"/>
    <s v="High"/>
    <s v="Low Risk"/>
  </r>
  <r>
    <x v="21"/>
    <x v="1"/>
    <s v="Yes"/>
    <x v="1"/>
    <x v="1"/>
    <s v="Yes"/>
    <n v="3416"/>
    <n v="0"/>
    <n v="371"/>
    <n v="120"/>
    <x v="0"/>
    <x v="1"/>
    <x v="1"/>
    <n v="3416"/>
    <s v="Low"/>
    <s v="Low Risk"/>
  </r>
  <r>
    <x v="22"/>
    <x v="0"/>
    <s v="Yes"/>
    <x v="2"/>
    <x v="0"/>
    <s v="Yes"/>
    <n v="20998"/>
    <n v="0"/>
    <n v="463"/>
    <n v="120"/>
    <x v="1"/>
    <x v="2"/>
    <x v="0"/>
    <n v="20998"/>
    <s v="High"/>
    <s v="High Risk"/>
  </r>
  <r>
    <x v="23"/>
    <x v="0"/>
    <s v="Yes"/>
    <x v="2"/>
    <x v="1"/>
    <s v="No"/>
    <n v="10044"/>
    <n v="3846"/>
    <n v="294"/>
    <n v="240"/>
    <x v="0"/>
    <x v="2"/>
    <x v="0"/>
    <n v="13890"/>
    <s v="High"/>
    <s v="Low Risk"/>
  </r>
  <r>
    <x v="24"/>
    <x v="1"/>
    <s v="No"/>
    <x v="0"/>
    <x v="0"/>
    <s v="Yes"/>
    <n v="16517"/>
    <n v="0"/>
    <n v="125"/>
    <n v="360"/>
    <x v="0"/>
    <x v="1"/>
    <x v="0"/>
    <n v="16517"/>
    <s v="High"/>
    <s v="Low Risk"/>
  </r>
  <r>
    <x v="25"/>
    <x v="0"/>
    <s v="No"/>
    <x v="2"/>
    <x v="0"/>
    <s v="No"/>
    <n v="10838"/>
    <n v="3084"/>
    <n v="606"/>
    <n v="240"/>
    <x v="0"/>
    <x v="2"/>
    <x v="0"/>
    <n v="13922"/>
    <s v="High"/>
    <s v="Low Risk"/>
  </r>
  <r>
    <x v="26"/>
    <x v="0"/>
    <s v="No"/>
    <x v="2"/>
    <x v="0"/>
    <s v="No"/>
    <n v="5282"/>
    <n v="0"/>
    <n v="328"/>
    <n v="240"/>
    <x v="0"/>
    <x v="2"/>
    <x v="0"/>
    <n v="5282"/>
    <s v="Medium"/>
    <s v="Low Risk"/>
  </r>
  <r>
    <x v="27"/>
    <x v="1"/>
    <s v="Yes"/>
    <x v="0"/>
    <x v="1"/>
    <s v="No"/>
    <n v="3164"/>
    <n v="2012"/>
    <n v="333"/>
    <n v="120"/>
    <x v="0"/>
    <x v="0"/>
    <x v="1"/>
    <n v="5176"/>
    <s v="Medium"/>
    <s v="Low Risk"/>
  </r>
  <r>
    <x v="28"/>
    <x v="1"/>
    <s v="Yes"/>
    <x v="3"/>
    <x v="1"/>
    <s v="Yes"/>
    <n v="5165"/>
    <n v="0"/>
    <n v="608"/>
    <n v="120"/>
    <x v="1"/>
    <x v="2"/>
    <x v="1"/>
    <n v="5165"/>
    <s v="Medium"/>
    <s v="High Risk"/>
  </r>
  <r>
    <x v="29"/>
    <x v="0"/>
    <s v="No"/>
    <x v="1"/>
    <x v="0"/>
    <s v="No"/>
    <n v="13448"/>
    <n v="0"/>
    <n v="416"/>
    <n v="180"/>
    <x v="0"/>
    <x v="2"/>
    <x v="0"/>
    <n v="13448"/>
    <s v="High"/>
    <s v="Low Risk"/>
  </r>
  <r>
    <x v="30"/>
    <x v="0"/>
    <s v="No"/>
    <x v="3"/>
    <x v="0"/>
    <s v="Yes"/>
    <n v="6824"/>
    <n v="0"/>
    <n v="472"/>
    <n v="120"/>
    <x v="0"/>
    <x v="1"/>
    <x v="0"/>
    <n v="6824"/>
    <s v="Medium"/>
    <s v="Low Risk"/>
  </r>
  <r>
    <x v="31"/>
    <x v="1"/>
    <s v="Yes"/>
    <x v="0"/>
    <x v="0"/>
    <s v="Yes"/>
    <n v="14035"/>
    <n v="0"/>
    <n v="531"/>
    <n v="180"/>
    <x v="0"/>
    <x v="1"/>
    <x v="0"/>
    <n v="14035"/>
    <s v="High"/>
    <s v="Low Risk"/>
  </r>
  <r>
    <x v="32"/>
    <x v="1"/>
    <s v="No"/>
    <x v="1"/>
    <x v="0"/>
    <s v="Yes"/>
    <n v="23127"/>
    <n v="3664"/>
    <n v="386"/>
    <n v="240"/>
    <x v="1"/>
    <x v="1"/>
    <x v="0"/>
    <n v="26791"/>
    <s v="High"/>
    <s v="High Risk"/>
  </r>
  <r>
    <x v="33"/>
    <x v="1"/>
    <s v="No"/>
    <x v="0"/>
    <x v="0"/>
    <s v="Yes"/>
    <n v="10059"/>
    <n v="3425"/>
    <n v="89"/>
    <n v="120"/>
    <x v="0"/>
    <x v="1"/>
    <x v="0"/>
    <n v="13484"/>
    <s v="High"/>
    <s v="Low Risk"/>
  </r>
  <r>
    <x v="34"/>
    <x v="1"/>
    <s v="No"/>
    <x v="2"/>
    <x v="1"/>
    <s v="Yes"/>
    <n v="9846"/>
    <n v="1227"/>
    <n v="51"/>
    <n v="360"/>
    <x v="1"/>
    <x v="2"/>
    <x v="0"/>
    <n v="11073"/>
    <s v="High"/>
    <s v="High Risk"/>
  </r>
  <r>
    <x v="35"/>
    <x v="0"/>
    <s v="No"/>
    <x v="3"/>
    <x v="0"/>
    <s v="No"/>
    <n v="21919"/>
    <n v="0"/>
    <n v="357"/>
    <n v="360"/>
    <x v="0"/>
    <x v="1"/>
    <x v="0"/>
    <n v="21919"/>
    <s v="High"/>
    <s v="Low Risk"/>
  </r>
  <r>
    <x v="36"/>
    <x v="1"/>
    <s v="No"/>
    <x v="0"/>
    <x v="0"/>
    <s v="Yes"/>
    <n v="15277"/>
    <n v="11394"/>
    <n v="228"/>
    <n v="360"/>
    <x v="0"/>
    <x v="1"/>
    <x v="0"/>
    <n v="26671"/>
    <s v="High"/>
    <s v="Low Risk"/>
  </r>
  <r>
    <x v="37"/>
    <x v="0"/>
    <s v="No"/>
    <x v="0"/>
    <x v="0"/>
    <s v="No"/>
    <n v="20504"/>
    <n v="10439"/>
    <n v="526"/>
    <n v="300"/>
    <x v="0"/>
    <x v="0"/>
    <x v="0"/>
    <n v="30943"/>
    <s v="High"/>
    <s v="Low Risk"/>
  </r>
  <r>
    <x v="38"/>
    <x v="1"/>
    <s v="Yes"/>
    <x v="2"/>
    <x v="1"/>
    <s v="No"/>
    <n v="4560"/>
    <n v="0"/>
    <n v="367"/>
    <n v="180"/>
    <x v="1"/>
    <x v="0"/>
    <x v="1"/>
    <n v="4560"/>
    <s v="Low"/>
    <s v="High Risk"/>
  </r>
  <r>
    <x v="39"/>
    <x v="0"/>
    <s v="Yes"/>
    <x v="1"/>
    <x v="1"/>
    <s v="Yes"/>
    <n v="16423"/>
    <n v="0"/>
    <n v="443"/>
    <n v="300"/>
    <x v="0"/>
    <x v="0"/>
    <x v="0"/>
    <n v="16423"/>
    <s v="High"/>
    <s v="Low Risk"/>
  </r>
  <r>
    <x v="40"/>
    <x v="0"/>
    <s v="Yes"/>
    <x v="3"/>
    <x v="0"/>
    <s v="Yes"/>
    <n v="24303"/>
    <n v="8986"/>
    <n v="101"/>
    <n v="360"/>
    <x v="0"/>
    <x v="0"/>
    <x v="0"/>
    <n v="33289"/>
    <s v="High"/>
    <s v="Low Risk"/>
  </r>
  <r>
    <x v="41"/>
    <x v="1"/>
    <s v="Yes"/>
    <x v="3"/>
    <x v="1"/>
    <s v="No"/>
    <n v="21575"/>
    <n v="13853"/>
    <n v="611"/>
    <n v="300"/>
    <x v="1"/>
    <x v="2"/>
    <x v="0"/>
    <n v="35428"/>
    <s v="High"/>
    <s v="High Risk"/>
  </r>
  <r>
    <x v="42"/>
    <x v="1"/>
    <s v="No"/>
    <x v="0"/>
    <x v="0"/>
    <s v="No"/>
    <n v="18581"/>
    <n v="0"/>
    <n v="331"/>
    <n v="300"/>
    <x v="0"/>
    <x v="1"/>
    <x v="0"/>
    <n v="18581"/>
    <s v="High"/>
    <s v="Low Risk"/>
  </r>
  <r>
    <x v="43"/>
    <x v="0"/>
    <s v="No"/>
    <x v="0"/>
    <x v="1"/>
    <s v="Yes"/>
    <n v="6034"/>
    <n v="0"/>
    <n v="442"/>
    <n v="180"/>
    <x v="0"/>
    <x v="0"/>
    <x v="0"/>
    <n v="6034"/>
    <s v="Medium"/>
    <s v="Low Risk"/>
  </r>
  <r>
    <x v="44"/>
    <x v="1"/>
    <s v="No"/>
    <x v="0"/>
    <x v="1"/>
    <s v="No"/>
    <n v="3540"/>
    <n v="3888"/>
    <n v="448"/>
    <n v="360"/>
    <x v="1"/>
    <x v="0"/>
    <x v="1"/>
    <n v="7428"/>
    <s v="Medium"/>
    <s v="High Risk"/>
  </r>
  <r>
    <x v="45"/>
    <x v="1"/>
    <s v="No"/>
    <x v="2"/>
    <x v="1"/>
    <s v="No"/>
    <n v="14279"/>
    <n v="14482"/>
    <n v="601"/>
    <n v="360"/>
    <x v="1"/>
    <x v="0"/>
    <x v="0"/>
    <n v="28761"/>
    <s v="High"/>
    <s v="High Risk"/>
  </r>
  <r>
    <x v="46"/>
    <x v="1"/>
    <s v="Yes"/>
    <x v="0"/>
    <x v="1"/>
    <s v="No"/>
    <n v="2451"/>
    <n v="6871"/>
    <n v="464"/>
    <n v="180"/>
    <x v="1"/>
    <x v="0"/>
    <x v="0"/>
    <n v="9322"/>
    <s v="Medium"/>
    <s v="High Risk"/>
  </r>
  <r>
    <x v="47"/>
    <x v="0"/>
    <s v="No"/>
    <x v="2"/>
    <x v="0"/>
    <s v="No"/>
    <n v="5946"/>
    <n v="14702"/>
    <n v="236"/>
    <n v="120"/>
    <x v="0"/>
    <x v="1"/>
    <x v="0"/>
    <n v="20648"/>
    <s v="High"/>
    <s v="Low Risk"/>
  </r>
  <r>
    <x v="48"/>
    <x v="0"/>
    <s v="No"/>
    <x v="0"/>
    <x v="1"/>
    <s v="No"/>
    <n v="10617"/>
    <n v="12820"/>
    <n v="308"/>
    <n v="120"/>
    <x v="0"/>
    <x v="2"/>
    <x v="0"/>
    <n v="23437"/>
    <s v="High"/>
    <s v="Low Risk"/>
  </r>
  <r>
    <x v="49"/>
    <x v="0"/>
    <s v="No"/>
    <x v="1"/>
    <x v="0"/>
    <s v="Yes"/>
    <n v="2516"/>
    <n v="0"/>
    <n v="70"/>
    <n v="360"/>
    <x v="0"/>
    <x v="0"/>
    <x v="1"/>
    <n v="2516"/>
    <s v="Low"/>
    <s v="Low Risk"/>
  </r>
  <r>
    <x v="50"/>
    <x v="1"/>
    <s v="Yes"/>
    <x v="1"/>
    <x v="1"/>
    <s v="No"/>
    <n v="13587"/>
    <n v="0"/>
    <n v="217"/>
    <n v="240"/>
    <x v="0"/>
    <x v="0"/>
    <x v="0"/>
    <n v="13587"/>
    <s v="High"/>
    <s v="Low Risk"/>
  </r>
  <r>
    <x v="51"/>
    <x v="1"/>
    <s v="No"/>
    <x v="3"/>
    <x v="0"/>
    <s v="Yes"/>
    <n v="20901"/>
    <n v="0"/>
    <n v="154"/>
    <n v="240"/>
    <x v="1"/>
    <x v="2"/>
    <x v="0"/>
    <n v="20901"/>
    <s v="High"/>
    <s v="High Risk"/>
  </r>
  <r>
    <x v="52"/>
    <x v="0"/>
    <s v="Yes"/>
    <x v="0"/>
    <x v="1"/>
    <s v="No"/>
    <n v="3759"/>
    <n v="8789"/>
    <n v="62"/>
    <n v="300"/>
    <x v="1"/>
    <x v="0"/>
    <x v="0"/>
    <n v="12548"/>
    <s v="High"/>
    <s v="High Risk"/>
  </r>
  <r>
    <x v="53"/>
    <x v="1"/>
    <s v="No"/>
    <x v="3"/>
    <x v="0"/>
    <s v="No"/>
    <n v="7271"/>
    <n v="12522"/>
    <n v="680"/>
    <n v="360"/>
    <x v="0"/>
    <x v="1"/>
    <x v="0"/>
    <n v="19793"/>
    <s v="High"/>
    <s v="Low Risk"/>
  </r>
  <r>
    <x v="54"/>
    <x v="1"/>
    <s v="No"/>
    <x v="0"/>
    <x v="0"/>
    <s v="Yes"/>
    <n v="10639"/>
    <n v="14944"/>
    <n v="299"/>
    <n v="300"/>
    <x v="0"/>
    <x v="2"/>
    <x v="0"/>
    <n v="25583"/>
    <s v="High"/>
    <s v="Low Risk"/>
  </r>
  <r>
    <x v="55"/>
    <x v="1"/>
    <s v="No"/>
    <x v="2"/>
    <x v="1"/>
    <s v="No"/>
    <n v="7458"/>
    <n v="0"/>
    <n v="413"/>
    <n v="240"/>
    <x v="0"/>
    <x v="2"/>
    <x v="0"/>
    <n v="7458"/>
    <s v="Medium"/>
    <s v="Low Risk"/>
  </r>
  <r>
    <x v="56"/>
    <x v="1"/>
    <s v="Yes"/>
    <x v="1"/>
    <x v="0"/>
    <s v="Yes"/>
    <n v="14817"/>
    <n v="0"/>
    <n v="537"/>
    <n v="300"/>
    <x v="0"/>
    <x v="0"/>
    <x v="0"/>
    <n v="14817"/>
    <s v="High"/>
    <s v="Low Risk"/>
  </r>
  <r>
    <x v="57"/>
    <x v="0"/>
    <s v="No"/>
    <x v="1"/>
    <x v="1"/>
    <s v="Yes"/>
    <n v="11533"/>
    <n v="11378"/>
    <n v="534"/>
    <n v="360"/>
    <x v="0"/>
    <x v="1"/>
    <x v="0"/>
    <n v="22911"/>
    <s v="High"/>
    <s v="Low Risk"/>
  </r>
  <r>
    <x v="58"/>
    <x v="1"/>
    <s v="No"/>
    <x v="3"/>
    <x v="1"/>
    <s v="No"/>
    <n v="9737"/>
    <n v="0"/>
    <n v="247"/>
    <n v="240"/>
    <x v="0"/>
    <x v="2"/>
    <x v="0"/>
    <n v="9737"/>
    <s v="Medium"/>
    <s v="Low Risk"/>
  </r>
  <r>
    <x v="59"/>
    <x v="0"/>
    <s v="Yes"/>
    <x v="1"/>
    <x v="1"/>
    <s v="No"/>
    <n v="20819"/>
    <n v="12955"/>
    <n v="152"/>
    <n v="180"/>
    <x v="0"/>
    <x v="1"/>
    <x v="0"/>
    <n v="33774"/>
    <s v="High"/>
    <s v="Low Risk"/>
  </r>
  <r>
    <x v="60"/>
    <x v="0"/>
    <s v="No"/>
    <x v="2"/>
    <x v="0"/>
    <s v="No"/>
    <n v="2991"/>
    <n v="1393"/>
    <n v="179"/>
    <n v="300"/>
    <x v="0"/>
    <x v="0"/>
    <x v="0"/>
    <n v="4384"/>
    <s v="Low"/>
    <s v="Low Risk"/>
  </r>
  <r>
    <x v="61"/>
    <x v="1"/>
    <s v="No"/>
    <x v="3"/>
    <x v="1"/>
    <s v="No"/>
    <n v="7541"/>
    <n v="1341"/>
    <n v="539"/>
    <n v="120"/>
    <x v="1"/>
    <x v="1"/>
    <x v="0"/>
    <n v="8882"/>
    <s v="Medium"/>
    <s v="High Risk"/>
  </r>
  <r>
    <x v="62"/>
    <x v="1"/>
    <s v="Yes"/>
    <x v="2"/>
    <x v="0"/>
    <s v="Yes"/>
    <n v="19943"/>
    <n v="0"/>
    <n v="304"/>
    <n v="120"/>
    <x v="0"/>
    <x v="1"/>
    <x v="0"/>
    <n v="19943"/>
    <s v="High"/>
    <s v="Low Risk"/>
  </r>
  <r>
    <x v="63"/>
    <x v="0"/>
    <s v="No"/>
    <x v="3"/>
    <x v="1"/>
    <s v="No"/>
    <n v="20784"/>
    <n v="7525"/>
    <n v="632"/>
    <n v="360"/>
    <x v="0"/>
    <x v="2"/>
    <x v="0"/>
    <n v="28309"/>
    <s v="High"/>
    <s v="Low Risk"/>
  </r>
  <r>
    <x v="64"/>
    <x v="0"/>
    <s v="Yes"/>
    <x v="1"/>
    <x v="1"/>
    <s v="Yes"/>
    <n v="6646"/>
    <n v="0"/>
    <n v="615"/>
    <n v="120"/>
    <x v="0"/>
    <x v="1"/>
    <x v="0"/>
    <n v="6646"/>
    <s v="Medium"/>
    <s v="Low Risk"/>
  </r>
  <r>
    <x v="65"/>
    <x v="1"/>
    <s v="No"/>
    <x v="0"/>
    <x v="0"/>
    <s v="Yes"/>
    <n v="10940"/>
    <n v="12082"/>
    <n v="514"/>
    <n v="120"/>
    <x v="0"/>
    <x v="1"/>
    <x v="0"/>
    <n v="23022"/>
    <s v="High"/>
    <s v="Low Risk"/>
  </r>
  <r>
    <x v="66"/>
    <x v="0"/>
    <s v="No"/>
    <x v="2"/>
    <x v="0"/>
    <s v="Yes"/>
    <n v="10204"/>
    <n v="0"/>
    <n v="123"/>
    <n v="120"/>
    <x v="0"/>
    <x v="1"/>
    <x v="0"/>
    <n v="10204"/>
    <s v="High"/>
    <s v="Low Risk"/>
  </r>
  <r>
    <x v="67"/>
    <x v="1"/>
    <s v="No"/>
    <x v="2"/>
    <x v="1"/>
    <s v="No"/>
    <n v="24428"/>
    <n v="7094"/>
    <n v="562"/>
    <n v="360"/>
    <x v="0"/>
    <x v="0"/>
    <x v="0"/>
    <n v="31522"/>
    <s v="High"/>
    <s v="Low Risk"/>
  </r>
  <r>
    <x v="68"/>
    <x v="0"/>
    <s v="No"/>
    <x v="0"/>
    <x v="1"/>
    <s v="Yes"/>
    <n v="4492"/>
    <n v="0"/>
    <n v="325"/>
    <n v="360"/>
    <x v="0"/>
    <x v="0"/>
    <x v="1"/>
    <n v="4492"/>
    <s v="Low"/>
    <s v="Low Risk"/>
  </r>
  <r>
    <x v="69"/>
    <x v="1"/>
    <s v="No"/>
    <x v="0"/>
    <x v="0"/>
    <s v="No"/>
    <n v="22300"/>
    <n v="13840"/>
    <n v="143"/>
    <n v="300"/>
    <x v="0"/>
    <x v="1"/>
    <x v="0"/>
    <n v="36140"/>
    <s v="High"/>
    <s v="Low Risk"/>
  </r>
  <r>
    <x v="70"/>
    <x v="1"/>
    <s v="Yes"/>
    <x v="1"/>
    <x v="1"/>
    <s v="No"/>
    <n v="24230"/>
    <n v="8617"/>
    <n v="460"/>
    <n v="360"/>
    <x v="0"/>
    <x v="0"/>
    <x v="0"/>
    <n v="32847"/>
    <s v="High"/>
    <s v="Low Risk"/>
  </r>
  <r>
    <x v="71"/>
    <x v="1"/>
    <s v="No"/>
    <x v="0"/>
    <x v="0"/>
    <s v="No"/>
    <n v="18362"/>
    <n v="0"/>
    <n v="605"/>
    <n v="300"/>
    <x v="0"/>
    <x v="0"/>
    <x v="0"/>
    <n v="18362"/>
    <s v="High"/>
    <s v="Low Risk"/>
  </r>
  <r>
    <x v="72"/>
    <x v="1"/>
    <s v="No"/>
    <x v="3"/>
    <x v="0"/>
    <s v="Yes"/>
    <n v="10250"/>
    <n v="0"/>
    <n v="344"/>
    <n v="300"/>
    <x v="1"/>
    <x v="1"/>
    <x v="0"/>
    <n v="10250"/>
    <s v="High"/>
    <s v="High Risk"/>
  </r>
  <r>
    <x v="73"/>
    <x v="0"/>
    <s v="Yes"/>
    <x v="1"/>
    <x v="0"/>
    <s v="No"/>
    <n v="19549"/>
    <n v="724"/>
    <n v="145"/>
    <n v="180"/>
    <x v="1"/>
    <x v="0"/>
    <x v="0"/>
    <n v="20273"/>
    <s v="High"/>
    <s v="High Risk"/>
  </r>
  <r>
    <x v="74"/>
    <x v="1"/>
    <s v="Yes"/>
    <x v="1"/>
    <x v="1"/>
    <s v="No"/>
    <n v="18174"/>
    <n v="12057"/>
    <n v="475"/>
    <n v="300"/>
    <x v="1"/>
    <x v="0"/>
    <x v="0"/>
    <n v="30231"/>
    <s v="High"/>
    <s v="High Risk"/>
  </r>
  <r>
    <x v="75"/>
    <x v="1"/>
    <s v="Yes"/>
    <x v="3"/>
    <x v="0"/>
    <s v="Yes"/>
    <n v="3787"/>
    <n v="5026"/>
    <n v="398"/>
    <n v="360"/>
    <x v="0"/>
    <x v="0"/>
    <x v="0"/>
    <n v="8813"/>
    <s v="Medium"/>
    <s v="Low Risk"/>
  </r>
  <r>
    <x v="76"/>
    <x v="1"/>
    <s v="No"/>
    <x v="3"/>
    <x v="0"/>
    <s v="No"/>
    <n v="19148"/>
    <n v="8435"/>
    <n v="390"/>
    <n v="360"/>
    <x v="0"/>
    <x v="1"/>
    <x v="0"/>
    <n v="27583"/>
    <s v="High"/>
    <s v="Low Risk"/>
  </r>
  <r>
    <x v="77"/>
    <x v="1"/>
    <s v="No"/>
    <x v="1"/>
    <x v="0"/>
    <s v="No"/>
    <n v="9153"/>
    <n v="14524"/>
    <n v="94"/>
    <n v="240"/>
    <x v="0"/>
    <x v="2"/>
    <x v="0"/>
    <n v="23677"/>
    <s v="High"/>
    <s v="Low Risk"/>
  </r>
  <r>
    <x v="78"/>
    <x v="1"/>
    <s v="No"/>
    <x v="1"/>
    <x v="1"/>
    <s v="Yes"/>
    <n v="5636"/>
    <n v="8729"/>
    <n v="152"/>
    <n v="300"/>
    <x v="0"/>
    <x v="1"/>
    <x v="0"/>
    <n v="14365"/>
    <s v="High"/>
    <s v="Low Risk"/>
  </r>
  <r>
    <x v="79"/>
    <x v="0"/>
    <s v="Yes"/>
    <x v="3"/>
    <x v="0"/>
    <s v="Yes"/>
    <n v="16884"/>
    <n v="13304"/>
    <n v="396"/>
    <n v="360"/>
    <x v="0"/>
    <x v="2"/>
    <x v="0"/>
    <n v="30188"/>
    <s v="High"/>
    <s v="Low Risk"/>
  </r>
  <r>
    <x v="80"/>
    <x v="0"/>
    <s v="No"/>
    <x v="3"/>
    <x v="1"/>
    <s v="No"/>
    <n v="19228"/>
    <n v="0"/>
    <n v="290"/>
    <n v="240"/>
    <x v="1"/>
    <x v="2"/>
    <x v="0"/>
    <n v="19228"/>
    <s v="High"/>
    <s v="High Risk"/>
  </r>
  <r>
    <x v="81"/>
    <x v="0"/>
    <s v="No"/>
    <x v="2"/>
    <x v="0"/>
    <s v="No"/>
    <n v="6951"/>
    <n v="11870"/>
    <n v="79"/>
    <n v="120"/>
    <x v="0"/>
    <x v="0"/>
    <x v="0"/>
    <n v="18821"/>
    <s v="High"/>
    <s v="Low Risk"/>
  </r>
  <r>
    <x v="82"/>
    <x v="1"/>
    <s v="No"/>
    <x v="0"/>
    <x v="1"/>
    <s v="Yes"/>
    <n v="9501"/>
    <n v="9202"/>
    <n v="629"/>
    <n v="180"/>
    <x v="0"/>
    <x v="0"/>
    <x v="0"/>
    <n v="18703"/>
    <s v="High"/>
    <s v="Low Risk"/>
  </r>
  <r>
    <x v="83"/>
    <x v="1"/>
    <s v="Yes"/>
    <x v="3"/>
    <x v="0"/>
    <s v="Yes"/>
    <n v="16610"/>
    <n v="10951"/>
    <n v="520"/>
    <n v="240"/>
    <x v="0"/>
    <x v="1"/>
    <x v="0"/>
    <n v="27561"/>
    <s v="High"/>
    <s v="Low Risk"/>
  </r>
  <r>
    <x v="84"/>
    <x v="1"/>
    <s v="Yes"/>
    <x v="2"/>
    <x v="1"/>
    <s v="No"/>
    <n v="20753"/>
    <n v="5401"/>
    <n v="306"/>
    <n v="300"/>
    <x v="1"/>
    <x v="0"/>
    <x v="0"/>
    <n v="26154"/>
    <s v="High"/>
    <s v="High Risk"/>
  </r>
  <r>
    <x v="85"/>
    <x v="1"/>
    <s v="No"/>
    <x v="2"/>
    <x v="0"/>
    <s v="No"/>
    <n v="20240"/>
    <n v="6381"/>
    <n v="352"/>
    <n v="120"/>
    <x v="1"/>
    <x v="2"/>
    <x v="0"/>
    <n v="26621"/>
    <s v="High"/>
    <s v="High Risk"/>
  </r>
  <r>
    <x v="86"/>
    <x v="1"/>
    <s v="No"/>
    <x v="2"/>
    <x v="0"/>
    <s v="No"/>
    <n v="10878"/>
    <n v="0"/>
    <n v="671"/>
    <n v="240"/>
    <x v="0"/>
    <x v="0"/>
    <x v="0"/>
    <n v="10878"/>
    <s v="High"/>
    <s v="Low Risk"/>
  </r>
  <r>
    <x v="87"/>
    <x v="1"/>
    <s v="Yes"/>
    <x v="2"/>
    <x v="0"/>
    <s v="No"/>
    <n v="15944"/>
    <n v="1046"/>
    <n v="184"/>
    <n v="120"/>
    <x v="1"/>
    <x v="1"/>
    <x v="0"/>
    <n v="16990"/>
    <s v="High"/>
    <s v="High Risk"/>
  </r>
  <r>
    <x v="88"/>
    <x v="1"/>
    <s v="Yes"/>
    <x v="1"/>
    <x v="0"/>
    <s v="No"/>
    <n v="18894"/>
    <n v="8721"/>
    <n v="218"/>
    <n v="240"/>
    <x v="1"/>
    <x v="1"/>
    <x v="0"/>
    <n v="27615"/>
    <s v="High"/>
    <s v="High Risk"/>
  </r>
  <r>
    <x v="89"/>
    <x v="1"/>
    <s v="No"/>
    <x v="2"/>
    <x v="1"/>
    <s v="Yes"/>
    <n v="6112"/>
    <n v="0"/>
    <n v="456"/>
    <n v="360"/>
    <x v="0"/>
    <x v="1"/>
    <x v="0"/>
    <n v="6112"/>
    <s v="Medium"/>
    <s v="Low Risk"/>
  </r>
  <r>
    <x v="90"/>
    <x v="0"/>
    <s v="No"/>
    <x v="2"/>
    <x v="1"/>
    <s v="No"/>
    <n v="23547"/>
    <n v="12771"/>
    <n v="648"/>
    <n v="300"/>
    <x v="1"/>
    <x v="1"/>
    <x v="0"/>
    <n v="36318"/>
    <s v="High"/>
    <s v="High Risk"/>
  </r>
  <r>
    <x v="91"/>
    <x v="0"/>
    <s v="Yes"/>
    <x v="3"/>
    <x v="0"/>
    <s v="No"/>
    <n v="21491"/>
    <n v="0"/>
    <n v="700"/>
    <n v="300"/>
    <x v="1"/>
    <x v="1"/>
    <x v="0"/>
    <n v="21491"/>
    <s v="High"/>
    <s v="High Risk"/>
  </r>
  <r>
    <x v="92"/>
    <x v="1"/>
    <s v="Yes"/>
    <x v="1"/>
    <x v="0"/>
    <s v="Yes"/>
    <n v="11473"/>
    <n v="0"/>
    <n v="149"/>
    <n v="180"/>
    <x v="1"/>
    <x v="0"/>
    <x v="0"/>
    <n v="11473"/>
    <s v="High"/>
    <s v="High Risk"/>
  </r>
  <r>
    <x v="93"/>
    <x v="1"/>
    <s v="No"/>
    <x v="0"/>
    <x v="1"/>
    <s v="Yes"/>
    <n v="15094"/>
    <n v="0"/>
    <n v="551"/>
    <n v="360"/>
    <x v="0"/>
    <x v="1"/>
    <x v="0"/>
    <n v="15094"/>
    <s v="High"/>
    <s v="Low Risk"/>
  </r>
  <r>
    <x v="94"/>
    <x v="0"/>
    <s v="No"/>
    <x v="1"/>
    <x v="1"/>
    <s v="No"/>
    <n v="9236"/>
    <n v="14515"/>
    <n v="151"/>
    <n v="240"/>
    <x v="0"/>
    <x v="2"/>
    <x v="0"/>
    <n v="23751"/>
    <s v="High"/>
    <s v="Low Risk"/>
  </r>
  <r>
    <x v="95"/>
    <x v="1"/>
    <s v="Yes"/>
    <x v="3"/>
    <x v="1"/>
    <s v="Yes"/>
    <n v="5502"/>
    <n v="14394"/>
    <n v="143"/>
    <n v="180"/>
    <x v="0"/>
    <x v="2"/>
    <x v="0"/>
    <n v="19896"/>
    <s v="High"/>
    <s v="Low Risk"/>
  </r>
  <r>
    <x v="96"/>
    <x v="0"/>
    <s v="Yes"/>
    <x v="0"/>
    <x v="0"/>
    <s v="Yes"/>
    <n v="20000"/>
    <n v="0"/>
    <n v="617"/>
    <n v="180"/>
    <x v="0"/>
    <x v="0"/>
    <x v="0"/>
    <n v="20000"/>
    <s v="High"/>
    <s v="Low Risk"/>
  </r>
  <r>
    <x v="97"/>
    <x v="1"/>
    <s v="Yes"/>
    <x v="2"/>
    <x v="1"/>
    <s v="Yes"/>
    <n v="5759"/>
    <n v="9350"/>
    <n v="228"/>
    <n v="120"/>
    <x v="0"/>
    <x v="0"/>
    <x v="0"/>
    <n v="15109"/>
    <s v="High"/>
    <s v="Low Risk"/>
  </r>
  <r>
    <x v="98"/>
    <x v="0"/>
    <s v="Yes"/>
    <x v="0"/>
    <x v="0"/>
    <s v="No"/>
    <n v="2017"/>
    <n v="3354"/>
    <n v="103"/>
    <n v="180"/>
    <x v="0"/>
    <x v="2"/>
    <x v="0"/>
    <n v="5371"/>
    <s v="Medium"/>
    <s v="Low Risk"/>
  </r>
  <r>
    <x v="99"/>
    <x v="0"/>
    <s v="Yes"/>
    <x v="3"/>
    <x v="1"/>
    <s v="No"/>
    <n v="18317"/>
    <n v="0"/>
    <n v="512"/>
    <n v="360"/>
    <x v="0"/>
    <x v="2"/>
    <x v="0"/>
    <n v="18317"/>
    <s v="High"/>
    <s v="Low Risk"/>
  </r>
  <r>
    <x v="100"/>
    <x v="0"/>
    <s v="No"/>
    <x v="3"/>
    <x v="0"/>
    <s v="Yes"/>
    <n v="17195"/>
    <n v="14382"/>
    <n v="486"/>
    <n v="120"/>
    <x v="0"/>
    <x v="1"/>
    <x v="0"/>
    <n v="31577"/>
    <s v="High"/>
    <s v="Low Risk"/>
  </r>
  <r>
    <x v="101"/>
    <x v="0"/>
    <s v="Yes"/>
    <x v="0"/>
    <x v="0"/>
    <s v="Yes"/>
    <n v="5635"/>
    <n v="5005"/>
    <n v="440"/>
    <n v="360"/>
    <x v="0"/>
    <x v="1"/>
    <x v="0"/>
    <n v="10640"/>
    <s v="High"/>
    <s v="Low Risk"/>
  </r>
  <r>
    <x v="102"/>
    <x v="1"/>
    <s v="Yes"/>
    <x v="2"/>
    <x v="0"/>
    <s v="No"/>
    <n v="16296"/>
    <n v="4243"/>
    <n v="397"/>
    <n v="300"/>
    <x v="0"/>
    <x v="2"/>
    <x v="0"/>
    <n v="20539"/>
    <s v="High"/>
    <s v="Low Risk"/>
  </r>
  <r>
    <x v="103"/>
    <x v="0"/>
    <s v="No"/>
    <x v="3"/>
    <x v="1"/>
    <s v="No"/>
    <n v="13765"/>
    <n v="3000"/>
    <n v="118"/>
    <n v="120"/>
    <x v="1"/>
    <x v="0"/>
    <x v="0"/>
    <n v="16765"/>
    <s v="High"/>
    <s v="High Risk"/>
  </r>
  <r>
    <x v="104"/>
    <x v="1"/>
    <s v="Yes"/>
    <x v="0"/>
    <x v="0"/>
    <s v="Yes"/>
    <n v="20717"/>
    <n v="9701"/>
    <n v="175"/>
    <n v="300"/>
    <x v="0"/>
    <x v="2"/>
    <x v="0"/>
    <n v="30418"/>
    <s v="High"/>
    <s v="Low Risk"/>
  </r>
  <r>
    <x v="105"/>
    <x v="1"/>
    <s v="Yes"/>
    <x v="0"/>
    <x v="1"/>
    <s v="No"/>
    <n v="4894"/>
    <n v="0"/>
    <n v="208"/>
    <n v="300"/>
    <x v="0"/>
    <x v="0"/>
    <x v="1"/>
    <n v="4894"/>
    <s v="Low"/>
    <s v="Low Risk"/>
  </r>
  <r>
    <x v="106"/>
    <x v="1"/>
    <s v="No"/>
    <x v="2"/>
    <x v="1"/>
    <s v="Yes"/>
    <n v="15561"/>
    <n v="0"/>
    <n v="673"/>
    <n v="240"/>
    <x v="0"/>
    <x v="1"/>
    <x v="0"/>
    <n v="15561"/>
    <s v="High"/>
    <s v="Low Risk"/>
  </r>
  <r>
    <x v="107"/>
    <x v="1"/>
    <s v="No"/>
    <x v="0"/>
    <x v="0"/>
    <s v="Yes"/>
    <n v="6194"/>
    <n v="9778"/>
    <n v="121"/>
    <n v="180"/>
    <x v="0"/>
    <x v="0"/>
    <x v="0"/>
    <n v="15972"/>
    <s v="High"/>
    <s v="Low Risk"/>
  </r>
  <r>
    <x v="108"/>
    <x v="0"/>
    <s v="Yes"/>
    <x v="3"/>
    <x v="1"/>
    <s v="No"/>
    <n v="12670"/>
    <n v="3078"/>
    <n v="369"/>
    <n v="240"/>
    <x v="0"/>
    <x v="2"/>
    <x v="0"/>
    <n v="15748"/>
    <s v="High"/>
    <s v="Low Risk"/>
  </r>
  <r>
    <x v="109"/>
    <x v="0"/>
    <s v="Yes"/>
    <x v="1"/>
    <x v="0"/>
    <s v="Yes"/>
    <n v="23584"/>
    <n v="1836"/>
    <n v="503"/>
    <n v="300"/>
    <x v="0"/>
    <x v="1"/>
    <x v="0"/>
    <n v="25420"/>
    <s v="High"/>
    <s v="Low Risk"/>
  </r>
  <r>
    <x v="110"/>
    <x v="1"/>
    <s v="No"/>
    <x v="1"/>
    <x v="0"/>
    <s v="No"/>
    <n v="15587"/>
    <n v="2316"/>
    <n v="657"/>
    <n v="300"/>
    <x v="0"/>
    <x v="1"/>
    <x v="0"/>
    <n v="17903"/>
    <s v="High"/>
    <s v="Low Risk"/>
  </r>
  <r>
    <x v="111"/>
    <x v="0"/>
    <s v="Yes"/>
    <x v="3"/>
    <x v="0"/>
    <s v="Yes"/>
    <n v="8198"/>
    <n v="0"/>
    <n v="190"/>
    <n v="240"/>
    <x v="0"/>
    <x v="0"/>
    <x v="0"/>
    <n v="8198"/>
    <s v="Medium"/>
    <s v="Low Risk"/>
  </r>
  <r>
    <x v="112"/>
    <x v="0"/>
    <s v="No"/>
    <x v="3"/>
    <x v="0"/>
    <s v="Yes"/>
    <n v="13958"/>
    <n v="0"/>
    <n v="562"/>
    <n v="360"/>
    <x v="1"/>
    <x v="1"/>
    <x v="0"/>
    <n v="13958"/>
    <s v="High"/>
    <s v="High Risk"/>
  </r>
  <r>
    <x v="113"/>
    <x v="0"/>
    <s v="No"/>
    <x v="2"/>
    <x v="1"/>
    <s v="Yes"/>
    <n v="16565"/>
    <n v="1775"/>
    <n v="639"/>
    <n v="300"/>
    <x v="0"/>
    <x v="2"/>
    <x v="0"/>
    <n v="18340"/>
    <s v="High"/>
    <s v="Low Risk"/>
  </r>
  <r>
    <x v="114"/>
    <x v="1"/>
    <s v="No"/>
    <x v="2"/>
    <x v="1"/>
    <s v="Yes"/>
    <n v="12142"/>
    <n v="3315"/>
    <n v="420"/>
    <n v="120"/>
    <x v="0"/>
    <x v="0"/>
    <x v="0"/>
    <n v="15457"/>
    <s v="High"/>
    <s v="Low Risk"/>
  </r>
  <r>
    <x v="115"/>
    <x v="0"/>
    <s v="No"/>
    <x v="3"/>
    <x v="0"/>
    <s v="No"/>
    <n v="11667"/>
    <n v="12719"/>
    <n v="276"/>
    <n v="240"/>
    <x v="0"/>
    <x v="0"/>
    <x v="0"/>
    <n v="24386"/>
    <s v="High"/>
    <s v="Low Risk"/>
  </r>
  <r>
    <x v="116"/>
    <x v="0"/>
    <s v="Yes"/>
    <x v="0"/>
    <x v="1"/>
    <s v="Yes"/>
    <n v="9242"/>
    <n v="0"/>
    <n v="312"/>
    <n v="180"/>
    <x v="0"/>
    <x v="0"/>
    <x v="0"/>
    <n v="9242"/>
    <s v="Medium"/>
    <s v="Low Risk"/>
  </r>
  <r>
    <x v="117"/>
    <x v="0"/>
    <s v="Yes"/>
    <x v="3"/>
    <x v="1"/>
    <s v="No"/>
    <n v="23819"/>
    <n v="14951"/>
    <n v="692"/>
    <n v="240"/>
    <x v="0"/>
    <x v="0"/>
    <x v="0"/>
    <n v="38770"/>
    <s v="High"/>
    <s v="Low Risk"/>
  </r>
  <r>
    <x v="118"/>
    <x v="1"/>
    <s v="No"/>
    <x v="0"/>
    <x v="1"/>
    <s v="Yes"/>
    <n v="13032"/>
    <n v="0"/>
    <n v="367"/>
    <n v="300"/>
    <x v="0"/>
    <x v="0"/>
    <x v="0"/>
    <n v="13032"/>
    <s v="High"/>
    <s v="Low Risk"/>
  </r>
  <r>
    <x v="119"/>
    <x v="1"/>
    <s v="No"/>
    <x v="2"/>
    <x v="0"/>
    <s v="No"/>
    <n v="16662"/>
    <n v="0"/>
    <n v="510"/>
    <n v="360"/>
    <x v="0"/>
    <x v="1"/>
    <x v="0"/>
    <n v="16662"/>
    <s v="High"/>
    <s v="Low Risk"/>
  </r>
  <r>
    <x v="120"/>
    <x v="1"/>
    <s v="Yes"/>
    <x v="2"/>
    <x v="1"/>
    <s v="Yes"/>
    <n v="12753"/>
    <n v="0"/>
    <n v="566"/>
    <n v="180"/>
    <x v="0"/>
    <x v="2"/>
    <x v="0"/>
    <n v="12753"/>
    <s v="High"/>
    <s v="Low Risk"/>
  </r>
  <r>
    <x v="121"/>
    <x v="1"/>
    <s v="No"/>
    <x v="1"/>
    <x v="1"/>
    <s v="No"/>
    <n v="10769"/>
    <n v="6847"/>
    <n v="396"/>
    <n v="360"/>
    <x v="0"/>
    <x v="2"/>
    <x v="0"/>
    <n v="17616"/>
    <s v="High"/>
    <s v="Low Risk"/>
  </r>
  <r>
    <x v="122"/>
    <x v="1"/>
    <s v="Yes"/>
    <x v="0"/>
    <x v="0"/>
    <s v="No"/>
    <n v="10810"/>
    <n v="0"/>
    <n v="391"/>
    <n v="120"/>
    <x v="0"/>
    <x v="0"/>
    <x v="0"/>
    <n v="10810"/>
    <s v="High"/>
    <s v="Low Risk"/>
  </r>
  <r>
    <x v="123"/>
    <x v="1"/>
    <s v="No"/>
    <x v="3"/>
    <x v="0"/>
    <s v="Yes"/>
    <n v="11644"/>
    <n v="9657"/>
    <n v="386"/>
    <n v="180"/>
    <x v="0"/>
    <x v="2"/>
    <x v="0"/>
    <n v="21301"/>
    <s v="High"/>
    <s v="Low Risk"/>
  </r>
  <r>
    <x v="124"/>
    <x v="0"/>
    <s v="No"/>
    <x v="0"/>
    <x v="0"/>
    <s v="No"/>
    <n v="11620"/>
    <n v="0"/>
    <n v="399"/>
    <n v="300"/>
    <x v="0"/>
    <x v="0"/>
    <x v="0"/>
    <n v="11620"/>
    <s v="High"/>
    <s v="Low Risk"/>
  </r>
  <r>
    <x v="125"/>
    <x v="0"/>
    <s v="Yes"/>
    <x v="0"/>
    <x v="0"/>
    <s v="Yes"/>
    <n v="23190"/>
    <n v="0"/>
    <n v="661"/>
    <n v="300"/>
    <x v="0"/>
    <x v="0"/>
    <x v="0"/>
    <n v="23190"/>
    <s v="High"/>
    <s v="Low Risk"/>
  </r>
  <r>
    <x v="126"/>
    <x v="0"/>
    <s v="No"/>
    <x v="2"/>
    <x v="1"/>
    <s v="No"/>
    <n v="23663"/>
    <n v="0"/>
    <n v="504"/>
    <n v="360"/>
    <x v="0"/>
    <x v="2"/>
    <x v="0"/>
    <n v="23663"/>
    <s v="High"/>
    <s v="Low Risk"/>
  </r>
  <r>
    <x v="127"/>
    <x v="1"/>
    <s v="Yes"/>
    <x v="1"/>
    <x v="1"/>
    <s v="No"/>
    <n v="7857"/>
    <n v="6526"/>
    <n v="522"/>
    <n v="240"/>
    <x v="0"/>
    <x v="2"/>
    <x v="0"/>
    <n v="14383"/>
    <s v="High"/>
    <s v="Low Risk"/>
  </r>
  <r>
    <x v="128"/>
    <x v="1"/>
    <s v="Yes"/>
    <x v="1"/>
    <x v="0"/>
    <s v="No"/>
    <n v="3209"/>
    <n v="11005"/>
    <n v="430"/>
    <n v="360"/>
    <x v="1"/>
    <x v="2"/>
    <x v="0"/>
    <n v="14214"/>
    <s v="High"/>
    <s v="High Risk"/>
  </r>
  <r>
    <x v="129"/>
    <x v="0"/>
    <s v="No"/>
    <x v="2"/>
    <x v="0"/>
    <s v="No"/>
    <n v="16223"/>
    <n v="0"/>
    <n v="497"/>
    <n v="120"/>
    <x v="1"/>
    <x v="0"/>
    <x v="0"/>
    <n v="16223"/>
    <s v="High"/>
    <s v="High Risk"/>
  </r>
  <r>
    <x v="130"/>
    <x v="1"/>
    <s v="No"/>
    <x v="2"/>
    <x v="1"/>
    <s v="Yes"/>
    <n v="14491"/>
    <n v="8724"/>
    <n v="291"/>
    <n v="300"/>
    <x v="1"/>
    <x v="1"/>
    <x v="0"/>
    <n v="23215"/>
    <s v="High"/>
    <s v="High Risk"/>
  </r>
  <r>
    <x v="131"/>
    <x v="0"/>
    <s v="Yes"/>
    <x v="0"/>
    <x v="0"/>
    <s v="No"/>
    <n v="6285"/>
    <n v="0"/>
    <n v="343"/>
    <n v="300"/>
    <x v="0"/>
    <x v="0"/>
    <x v="0"/>
    <n v="6285"/>
    <s v="Medium"/>
    <s v="Low Risk"/>
  </r>
  <r>
    <x v="132"/>
    <x v="1"/>
    <s v="No"/>
    <x v="2"/>
    <x v="0"/>
    <s v="Yes"/>
    <n v="9886"/>
    <n v="0"/>
    <n v="611"/>
    <n v="360"/>
    <x v="0"/>
    <x v="0"/>
    <x v="0"/>
    <n v="9886"/>
    <s v="Medium"/>
    <s v="Low Risk"/>
  </r>
  <r>
    <x v="133"/>
    <x v="1"/>
    <s v="Yes"/>
    <x v="0"/>
    <x v="0"/>
    <s v="Yes"/>
    <n v="9313"/>
    <n v="7378"/>
    <n v="114"/>
    <n v="120"/>
    <x v="1"/>
    <x v="1"/>
    <x v="0"/>
    <n v="16691"/>
    <s v="High"/>
    <s v="High Risk"/>
  </r>
  <r>
    <x v="134"/>
    <x v="0"/>
    <s v="Yes"/>
    <x v="1"/>
    <x v="1"/>
    <s v="No"/>
    <n v="1551"/>
    <n v="10573"/>
    <n v="296"/>
    <n v="360"/>
    <x v="0"/>
    <x v="2"/>
    <x v="0"/>
    <n v="12124"/>
    <s v="High"/>
    <s v="Low Risk"/>
  </r>
  <r>
    <x v="135"/>
    <x v="0"/>
    <s v="No"/>
    <x v="2"/>
    <x v="0"/>
    <s v="No"/>
    <n v="16905"/>
    <n v="1213"/>
    <n v="432"/>
    <n v="240"/>
    <x v="0"/>
    <x v="1"/>
    <x v="0"/>
    <n v="18118"/>
    <s v="High"/>
    <s v="Low Risk"/>
  </r>
  <r>
    <x v="136"/>
    <x v="0"/>
    <s v="No"/>
    <x v="1"/>
    <x v="0"/>
    <s v="No"/>
    <n v="5871"/>
    <n v="1226"/>
    <n v="609"/>
    <n v="240"/>
    <x v="1"/>
    <x v="0"/>
    <x v="1"/>
    <n v="7097"/>
    <s v="Medium"/>
    <s v="High Risk"/>
  </r>
  <r>
    <x v="137"/>
    <x v="1"/>
    <s v="No"/>
    <x v="1"/>
    <x v="0"/>
    <s v="Yes"/>
    <n v="24963"/>
    <n v="13217"/>
    <n v="87"/>
    <n v="240"/>
    <x v="0"/>
    <x v="0"/>
    <x v="0"/>
    <n v="38180"/>
    <s v="High"/>
    <s v="Low Risk"/>
  </r>
  <r>
    <x v="138"/>
    <x v="0"/>
    <s v="No"/>
    <x v="0"/>
    <x v="1"/>
    <s v="No"/>
    <n v="9800"/>
    <n v="0"/>
    <n v="342"/>
    <n v="240"/>
    <x v="1"/>
    <x v="0"/>
    <x v="0"/>
    <n v="9800"/>
    <s v="Medium"/>
    <s v="High Risk"/>
  </r>
  <r>
    <x v="139"/>
    <x v="1"/>
    <s v="No"/>
    <x v="2"/>
    <x v="1"/>
    <s v="No"/>
    <n v="14607"/>
    <n v="12678"/>
    <n v="445"/>
    <n v="240"/>
    <x v="1"/>
    <x v="1"/>
    <x v="0"/>
    <n v="27285"/>
    <s v="High"/>
    <s v="High Risk"/>
  </r>
  <r>
    <x v="140"/>
    <x v="1"/>
    <s v="No"/>
    <x v="0"/>
    <x v="0"/>
    <s v="No"/>
    <n v="4086"/>
    <n v="0"/>
    <n v="608"/>
    <n v="240"/>
    <x v="0"/>
    <x v="0"/>
    <x v="0"/>
    <n v="4086"/>
    <s v="Low"/>
    <s v="Low Risk"/>
  </r>
  <r>
    <x v="141"/>
    <x v="1"/>
    <s v="No"/>
    <x v="0"/>
    <x v="1"/>
    <s v="No"/>
    <n v="6960"/>
    <n v="11801"/>
    <n v="409"/>
    <n v="300"/>
    <x v="0"/>
    <x v="1"/>
    <x v="0"/>
    <n v="18761"/>
    <s v="High"/>
    <s v="Low Risk"/>
  </r>
  <r>
    <x v="142"/>
    <x v="1"/>
    <s v="No"/>
    <x v="2"/>
    <x v="0"/>
    <s v="No"/>
    <n v="13404"/>
    <n v="0"/>
    <n v="81"/>
    <n v="180"/>
    <x v="1"/>
    <x v="2"/>
    <x v="0"/>
    <n v="13404"/>
    <s v="High"/>
    <s v="High Risk"/>
  </r>
  <r>
    <x v="143"/>
    <x v="1"/>
    <s v="Yes"/>
    <x v="1"/>
    <x v="0"/>
    <s v="Yes"/>
    <n v="22640"/>
    <n v="6501"/>
    <n v="442"/>
    <n v="360"/>
    <x v="0"/>
    <x v="0"/>
    <x v="0"/>
    <n v="29141"/>
    <s v="High"/>
    <s v="Low Risk"/>
  </r>
  <r>
    <x v="144"/>
    <x v="1"/>
    <s v="No"/>
    <x v="0"/>
    <x v="1"/>
    <s v="Yes"/>
    <n v="20306"/>
    <n v="2755"/>
    <n v="457"/>
    <n v="240"/>
    <x v="0"/>
    <x v="0"/>
    <x v="0"/>
    <n v="23061"/>
    <s v="High"/>
    <s v="Low Risk"/>
  </r>
  <r>
    <x v="145"/>
    <x v="0"/>
    <s v="Yes"/>
    <x v="1"/>
    <x v="1"/>
    <s v="No"/>
    <n v="19904"/>
    <n v="2429"/>
    <n v="316"/>
    <n v="300"/>
    <x v="0"/>
    <x v="2"/>
    <x v="0"/>
    <n v="22333"/>
    <s v="High"/>
    <s v="Low Risk"/>
  </r>
  <r>
    <x v="146"/>
    <x v="1"/>
    <s v="No"/>
    <x v="1"/>
    <x v="0"/>
    <s v="Yes"/>
    <n v="3926"/>
    <n v="0"/>
    <n v="505"/>
    <n v="120"/>
    <x v="1"/>
    <x v="1"/>
    <x v="1"/>
    <n v="3926"/>
    <s v="Low"/>
    <s v="High Risk"/>
  </r>
  <r>
    <x v="147"/>
    <x v="1"/>
    <s v="Yes"/>
    <x v="0"/>
    <x v="1"/>
    <s v="Yes"/>
    <n v="24824"/>
    <n v="0"/>
    <n v="420"/>
    <n v="360"/>
    <x v="0"/>
    <x v="0"/>
    <x v="0"/>
    <n v="24824"/>
    <s v="High"/>
    <s v="Low Risk"/>
  </r>
  <r>
    <x v="148"/>
    <x v="0"/>
    <s v="Yes"/>
    <x v="3"/>
    <x v="0"/>
    <s v="No"/>
    <n v="19654"/>
    <n v="9876"/>
    <n v="528"/>
    <n v="360"/>
    <x v="0"/>
    <x v="0"/>
    <x v="0"/>
    <n v="29530"/>
    <s v="High"/>
    <s v="Low Risk"/>
  </r>
  <r>
    <x v="149"/>
    <x v="0"/>
    <s v="No"/>
    <x v="3"/>
    <x v="1"/>
    <s v="No"/>
    <n v="14916"/>
    <n v="0"/>
    <n v="178"/>
    <n v="240"/>
    <x v="0"/>
    <x v="1"/>
    <x v="0"/>
    <n v="14916"/>
    <s v="High"/>
    <s v="Low Risk"/>
  </r>
  <r>
    <x v="150"/>
    <x v="1"/>
    <s v="No"/>
    <x v="1"/>
    <x v="0"/>
    <s v="Yes"/>
    <n v="15676"/>
    <n v="0"/>
    <n v="177"/>
    <n v="360"/>
    <x v="0"/>
    <x v="0"/>
    <x v="0"/>
    <n v="15676"/>
    <s v="High"/>
    <s v="Low Risk"/>
  </r>
  <r>
    <x v="151"/>
    <x v="0"/>
    <s v="No"/>
    <x v="1"/>
    <x v="1"/>
    <s v="No"/>
    <n v="4084"/>
    <n v="0"/>
    <n v="700"/>
    <n v="360"/>
    <x v="0"/>
    <x v="2"/>
    <x v="1"/>
    <n v="4084"/>
    <s v="Low"/>
    <s v="Low Risk"/>
  </r>
  <r>
    <x v="152"/>
    <x v="1"/>
    <s v="Yes"/>
    <x v="1"/>
    <x v="0"/>
    <s v="Yes"/>
    <n v="23085"/>
    <n v="10731"/>
    <n v="627"/>
    <n v="120"/>
    <x v="1"/>
    <x v="0"/>
    <x v="0"/>
    <n v="33816"/>
    <s v="High"/>
    <s v="High Risk"/>
  </r>
  <r>
    <x v="153"/>
    <x v="0"/>
    <s v="Yes"/>
    <x v="0"/>
    <x v="0"/>
    <s v="No"/>
    <n v="21754"/>
    <n v="0"/>
    <n v="559"/>
    <n v="360"/>
    <x v="0"/>
    <x v="1"/>
    <x v="0"/>
    <n v="21754"/>
    <s v="High"/>
    <s v="Low Risk"/>
  </r>
  <r>
    <x v="154"/>
    <x v="1"/>
    <s v="Yes"/>
    <x v="3"/>
    <x v="1"/>
    <s v="No"/>
    <n v="3891"/>
    <n v="0"/>
    <n v="211"/>
    <n v="300"/>
    <x v="0"/>
    <x v="1"/>
    <x v="1"/>
    <n v="3891"/>
    <s v="Low"/>
    <s v="Low Risk"/>
  </r>
  <r>
    <x v="155"/>
    <x v="0"/>
    <s v="No"/>
    <x v="1"/>
    <x v="1"/>
    <s v="No"/>
    <n v="12817"/>
    <n v="0"/>
    <n v="429"/>
    <n v="360"/>
    <x v="0"/>
    <x v="1"/>
    <x v="0"/>
    <n v="12817"/>
    <s v="High"/>
    <s v="Low Risk"/>
  </r>
  <r>
    <x v="156"/>
    <x v="0"/>
    <s v="No"/>
    <x v="2"/>
    <x v="1"/>
    <s v="No"/>
    <n v="9623"/>
    <n v="0"/>
    <n v="101"/>
    <n v="240"/>
    <x v="1"/>
    <x v="2"/>
    <x v="0"/>
    <n v="9623"/>
    <s v="Medium"/>
    <s v="High Risk"/>
  </r>
  <r>
    <x v="157"/>
    <x v="1"/>
    <s v="Yes"/>
    <x v="1"/>
    <x v="1"/>
    <s v="No"/>
    <n v="7720"/>
    <n v="0"/>
    <n v="560"/>
    <n v="360"/>
    <x v="0"/>
    <x v="1"/>
    <x v="0"/>
    <n v="7720"/>
    <s v="Medium"/>
    <s v="Low Risk"/>
  </r>
  <r>
    <x v="158"/>
    <x v="1"/>
    <s v="Yes"/>
    <x v="2"/>
    <x v="1"/>
    <s v="No"/>
    <n v="9388"/>
    <n v="4024"/>
    <n v="99"/>
    <n v="120"/>
    <x v="0"/>
    <x v="2"/>
    <x v="0"/>
    <n v="13412"/>
    <s v="High"/>
    <s v="Low Risk"/>
  </r>
  <r>
    <x v="159"/>
    <x v="1"/>
    <s v="No"/>
    <x v="2"/>
    <x v="0"/>
    <s v="No"/>
    <n v="5888"/>
    <n v="14958"/>
    <n v="424"/>
    <n v="300"/>
    <x v="0"/>
    <x v="1"/>
    <x v="0"/>
    <n v="20846"/>
    <s v="High"/>
    <s v="Low Risk"/>
  </r>
  <r>
    <x v="160"/>
    <x v="0"/>
    <s v="Yes"/>
    <x v="0"/>
    <x v="1"/>
    <s v="Yes"/>
    <n v="14159"/>
    <n v="8761"/>
    <n v="613"/>
    <n v="240"/>
    <x v="1"/>
    <x v="2"/>
    <x v="0"/>
    <n v="22920"/>
    <s v="High"/>
    <s v="High Risk"/>
  </r>
  <r>
    <x v="161"/>
    <x v="0"/>
    <s v="Yes"/>
    <x v="2"/>
    <x v="1"/>
    <s v="No"/>
    <n v="12611"/>
    <n v="9639"/>
    <n v="197"/>
    <n v="180"/>
    <x v="0"/>
    <x v="1"/>
    <x v="0"/>
    <n v="22250"/>
    <s v="High"/>
    <s v="Low Risk"/>
  </r>
  <r>
    <x v="162"/>
    <x v="0"/>
    <s v="Yes"/>
    <x v="2"/>
    <x v="0"/>
    <s v="No"/>
    <n v="17023"/>
    <n v="9008"/>
    <n v="202"/>
    <n v="360"/>
    <x v="1"/>
    <x v="0"/>
    <x v="0"/>
    <n v="26031"/>
    <s v="High"/>
    <s v="High Risk"/>
  </r>
  <r>
    <x v="163"/>
    <x v="1"/>
    <s v="No"/>
    <x v="1"/>
    <x v="1"/>
    <s v="No"/>
    <n v="20955"/>
    <n v="6011"/>
    <n v="626"/>
    <n v="240"/>
    <x v="0"/>
    <x v="0"/>
    <x v="0"/>
    <n v="26966"/>
    <s v="High"/>
    <s v="Low Risk"/>
  </r>
  <r>
    <x v="164"/>
    <x v="1"/>
    <s v="No"/>
    <x v="2"/>
    <x v="1"/>
    <s v="No"/>
    <n v="24045"/>
    <n v="0"/>
    <n v="661"/>
    <n v="300"/>
    <x v="0"/>
    <x v="2"/>
    <x v="0"/>
    <n v="24045"/>
    <s v="High"/>
    <s v="Low Risk"/>
  </r>
  <r>
    <x v="165"/>
    <x v="0"/>
    <s v="Yes"/>
    <x v="3"/>
    <x v="0"/>
    <s v="No"/>
    <n v="6342"/>
    <n v="0"/>
    <n v="82"/>
    <n v="360"/>
    <x v="1"/>
    <x v="0"/>
    <x v="1"/>
    <n v="6342"/>
    <s v="Medium"/>
    <s v="High Risk"/>
  </r>
  <r>
    <x v="166"/>
    <x v="0"/>
    <s v="Yes"/>
    <x v="3"/>
    <x v="1"/>
    <s v="No"/>
    <n v="6462"/>
    <n v="0"/>
    <n v="470"/>
    <n v="360"/>
    <x v="0"/>
    <x v="1"/>
    <x v="0"/>
    <n v="6462"/>
    <s v="Medium"/>
    <s v="Low Risk"/>
  </r>
  <r>
    <x v="167"/>
    <x v="0"/>
    <s v="Yes"/>
    <x v="1"/>
    <x v="1"/>
    <s v="No"/>
    <n v="18718"/>
    <n v="6673"/>
    <n v="227"/>
    <n v="300"/>
    <x v="1"/>
    <x v="1"/>
    <x v="0"/>
    <n v="25391"/>
    <s v="High"/>
    <s v="High Risk"/>
  </r>
  <r>
    <x v="168"/>
    <x v="1"/>
    <s v="No"/>
    <x v="3"/>
    <x v="0"/>
    <s v="Yes"/>
    <n v="10642"/>
    <n v="9643"/>
    <n v="280"/>
    <n v="240"/>
    <x v="0"/>
    <x v="2"/>
    <x v="0"/>
    <n v="20285"/>
    <s v="High"/>
    <s v="Low Risk"/>
  </r>
  <r>
    <x v="169"/>
    <x v="0"/>
    <s v="No"/>
    <x v="0"/>
    <x v="1"/>
    <s v="No"/>
    <n v="19866"/>
    <n v="13531"/>
    <n v="344"/>
    <n v="120"/>
    <x v="0"/>
    <x v="2"/>
    <x v="0"/>
    <n v="33397"/>
    <s v="High"/>
    <s v="Low Risk"/>
  </r>
  <r>
    <x v="170"/>
    <x v="1"/>
    <s v="No"/>
    <x v="0"/>
    <x v="0"/>
    <s v="No"/>
    <n v="2878"/>
    <n v="0"/>
    <n v="404"/>
    <n v="300"/>
    <x v="0"/>
    <x v="2"/>
    <x v="1"/>
    <n v="2878"/>
    <s v="Low"/>
    <s v="Low Risk"/>
  </r>
  <r>
    <x v="171"/>
    <x v="1"/>
    <s v="Yes"/>
    <x v="1"/>
    <x v="1"/>
    <s v="No"/>
    <n v="5998"/>
    <n v="0"/>
    <n v="298"/>
    <n v="120"/>
    <x v="0"/>
    <x v="2"/>
    <x v="0"/>
    <n v="5998"/>
    <s v="Medium"/>
    <s v="Low Risk"/>
  </r>
  <r>
    <x v="172"/>
    <x v="0"/>
    <s v="Yes"/>
    <x v="2"/>
    <x v="0"/>
    <s v="No"/>
    <n v="12323"/>
    <n v="12253"/>
    <n v="152"/>
    <n v="180"/>
    <x v="0"/>
    <x v="2"/>
    <x v="0"/>
    <n v="24576"/>
    <s v="High"/>
    <s v="Low Risk"/>
  </r>
  <r>
    <x v="173"/>
    <x v="0"/>
    <s v="No"/>
    <x v="3"/>
    <x v="1"/>
    <s v="Yes"/>
    <n v="10912"/>
    <n v="5762"/>
    <n v="110"/>
    <n v="120"/>
    <x v="0"/>
    <x v="0"/>
    <x v="0"/>
    <n v="16674"/>
    <s v="High"/>
    <s v="Low Risk"/>
  </r>
  <r>
    <x v="174"/>
    <x v="0"/>
    <s v="Yes"/>
    <x v="3"/>
    <x v="0"/>
    <s v="Yes"/>
    <n v="14508"/>
    <n v="13409"/>
    <n v="240"/>
    <n v="240"/>
    <x v="1"/>
    <x v="0"/>
    <x v="0"/>
    <n v="27917"/>
    <s v="High"/>
    <s v="High Risk"/>
  </r>
  <r>
    <x v="175"/>
    <x v="1"/>
    <s v="Yes"/>
    <x v="0"/>
    <x v="1"/>
    <s v="No"/>
    <n v="22514"/>
    <n v="9401"/>
    <n v="187"/>
    <n v="360"/>
    <x v="0"/>
    <x v="0"/>
    <x v="0"/>
    <n v="31915"/>
    <s v="High"/>
    <s v="Low Risk"/>
  </r>
  <r>
    <x v="176"/>
    <x v="0"/>
    <s v="No"/>
    <x v="1"/>
    <x v="1"/>
    <s v="No"/>
    <n v="7601"/>
    <n v="730"/>
    <n v="352"/>
    <n v="360"/>
    <x v="0"/>
    <x v="0"/>
    <x v="0"/>
    <n v="8331"/>
    <s v="Medium"/>
    <s v="Low Risk"/>
  </r>
  <r>
    <x v="177"/>
    <x v="0"/>
    <s v="No"/>
    <x v="3"/>
    <x v="1"/>
    <s v="Yes"/>
    <n v="14634"/>
    <n v="0"/>
    <n v="239"/>
    <n v="180"/>
    <x v="0"/>
    <x v="0"/>
    <x v="0"/>
    <n v="14634"/>
    <s v="High"/>
    <s v="Low Risk"/>
  </r>
  <r>
    <x v="178"/>
    <x v="0"/>
    <s v="No"/>
    <x v="3"/>
    <x v="0"/>
    <s v="No"/>
    <n v="10248"/>
    <n v="5900"/>
    <n v="646"/>
    <n v="360"/>
    <x v="0"/>
    <x v="2"/>
    <x v="0"/>
    <n v="16148"/>
    <s v="High"/>
    <s v="Low Risk"/>
  </r>
  <r>
    <x v="179"/>
    <x v="1"/>
    <s v="Yes"/>
    <x v="2"/>
    <x v="0"/>
    <s v="No"/>
    <n v="11553"/>
    <n v="3116"/>
    <n v="564"/>
    <n v="240"/>
    <x v="0"/>
    <x v="2"/>
    <x v="0"/>
    <n v="14669"/>
    <s v="High"/>
    <s v="Low Risk"/>
  </r>
  <r>
    <x v="180"/>
    <x v="1"/>
    <s v="No"/>
    <x v="1"/>
    <x v="0"/>
    <s v="Yes"/>
    <n v="17169"/>
    <n v="3009"/>
    <n v="670"/>
    <n v="240"/>
    <x v="0"/>
    <x v="2"/>
    <x v="0"/>
    <n v="20178"/>
    <s v="High"/>
    <s v="Low Risk"/>
  </r>
  <r>
    <x v="181"/>
    <x v="1"/>
    <s v="Yes"/>
    <x v="1"/>
    <x v="0"/>
    <s v="No"/>
    <n v="18807"/>
    <n v="12030"/>
    <n v="129"/>
    <n v="360"/>
    <x v="0"/>
    <x v="2"/>
    <x v="0"/>
    <n v="30837"/>
    <s v="High"/>
    <s v="Low Risk"/>
  </r>
  <r>
    <x v="182"/>
    <x v="0"/>
    <s v="Yes"/>
    <x v="1"/>
    <x v="1"/>
    <s v="No"/>
    <n v="5308"/>
    <n v="0"/>
    <n v="647"/>
    <n v="300"/>
    <x v="0"/>
    <x v="2"/>
    <x v="0"/>
    <n v="5308"/>
    <s v="Medium"/>
    <s v="Low Risk"/>
  </r>
  <r>
    <x v="183"/>
    <x v="1"/>
    <s v="Yes"/>
    <x v="3"/>
    <x v="0"/>
    <s v="No"/>
    <n v="16468"/>
    <n v="0"/>
    <n v="622"/>
    <n v="300"/>
    <x v="0"/>
    <x v="1"/>
    <x v="0"/>
    <n v="16468"/>
    <s v="High"/>
    <s v="Low Risk"/>
  </r>
  <r>
    <x v="184"/>
    <x v="0"/>
    <s v="No"/>
    <x v="0"/>
    <x v="0"/>
    <s v="Yes"/>
    <n v="20450"/>
    <n v="0"/>
    <n v="483"/>
    <n v="240"/>
    <x v="0"/>
    <x v="2"/>
    <x v="0"/>
    <n v="20450"/>
    <s v="High"/>
    <s v="Low Risk"/>
  </r>
  <r>
    <x v="185"/>
    <x v="0"/>
    <s v="Yes"/>
    <x v="3"/>
    <x v="0"/>
    <s v="No"/>
    <n v="14897"/>
    <n v="0"/>
    <n v="480"/>
    <n v="240"/>
    <x v="1"/>
    <x v="1"/>
    <x v="0"/>
    <n v="14897"/>
    <s v="High"/>
    <s v="High Risk"/>
  </r>
  <r>
    <x v="186"/>
    <x v="1"/>
    <s v="No"/>
    <x v="3"/>
    <x v="0"/>
    <s v="Yes"/>
    <n v="22915"/>
    <n v="14594"/>
    <n v="171"/>
    <n v="180"/>
    <x v="1"/>
    <x v="1"/>
    <x v="0"/>
    <n v="37509"/>
    <s v="High"/>
    <s v="High Risk"/>
  </r>
  <r>
    <x v="187"/>
    <x v="0"/>
    <s v="Yes"/>
    <x v="2"/>
    <x v="0"/>
    <s v="No"/>
    <n v="16671"/>
    <n v="11534"/>
    <n v="594"/>
    <n v="300"/>
    <x v="1"/>
    <x v="0"/>
    <x v="0"/>
    <n v="28205"/>
    <s v="High"/>
    <s v="High Risk"/>
  </r>
  <r>
    <x v="188"/>
    <x v="1"/>
    <s v="No"/>
    <x v="1"/>
    <x v="1"/>
    <s v="Yes"/>
    <n v="5197"/>
    <n v="1027"/>
    <n v="679"/>
    <n v="120"/>
    <x v="0"/>
    <x v="0"/>
    <x v="0"/>
    <n v="6224"/>
    <s v="Medium"/>
    <s v="Low Risk"/>
  </r>
  <r>
    <x v="189"/>
    <x v="0"/>
    <s v="Yes"/>
    <x v="3"/>
    <x v="0"/>
    <s v="Yes"/>
    <n v="2949"/>
    <n v="7090"/>
    <n v="289"/>
    <n v="360"/>
    <x v="0"/>
    <x v="0"/>
    <x v="0"/>
    <n v="10039"/>
    <s v="High"/>
    <s v="Low Risk"/>
  </r>
  <r>
    <x v="190"/>
    <x v="0"/>
    <s v="No"/>
    <x v="1"/>
    <x v="1"/>
    <s v="No"/>
    <n v="9262"/>
    <n v="0"/>
    <n v="583"/>
    <n v="180"/>
    <x v="0"/>
    <x v="1"/>
    <x v="0"/>
    <n v="9262"/>
    <s v="Medium"/>
    <s v="Low Risk"/>
  </r>
  <r>
    <x v="191"/>
    <x v="0"/>
    <s v="Yes"/>
    <x v="3"/>
    <x v="1"/>
    <s v="Yes"/>
    <n v="12785"/>
    <n v="11040"/>
    <n v="587"/>
    <n v="240"/>
    <x v="0"/>
    <x v="1"/>
    <x v="0"/>
    <n v="23825"/>
    <s v="High"/>
    <s v="Low Risk"/>
  </r>
  <r>
    <x v="192"/>
    <x v="0"/>
    <s v="No"/>
    <x v="3"/>
    <x v="0"/>
    <s v="No"/>
    <n v="9396"/>
    <n v="0"/>
    <n v="357"/>
    <n v="180"/>
    <x v="1"/>
    <x v="0"/>
    <x v="0"/>
    <n v="9396"/>
    <s v="Medium"/>
    <s v="High Risk"/>
  </r>
  <r>
    <x v="193"/>
    <x v="1"/>
    <s v="No"/>
    <x v="1"/>
    <x v="1"/>
    <s v="Yes"/>
    <n v="9855"/>
    <n v="3831"/>
    <n v="130"/>
    <n v="300"/>
    <x v="1"/>
    <x v="0"/>
    <x v="0"/>
    <n v="13686"/>
    <s v="High"/>
    <s v="High Risk"/>
  </r>
  <r>
    <x v="194"/>
    <x v="0"/>
    <s v="Yes"/>
    <x v="0"/>
    <x v="1"/>
    <s v="Yes"/>
    <n v="3884"/>
    <n v="0"/>
    <n v="540"/>
    <n v="180"/>
    <x v="1"/>
    <x v="1"/>
    <x v="1"/>
    <n v="3884"/>
    <s v="Low"/>
    <s v="High Risk"/>
  </r>
  <r>
    <x v="195"/>
    <x v="1"/>
    <s v="Yes"/>
    <x v="1"/>
    <x v="0"/>
    <s v="Yes"/>
    <n v="17193"/>
    <n v="0"/>
    <n v="456"/>
    <n v="180"/>
    <x v="0"/>
    <x v="1"/>
    <x v="0"/>
    <n v="17193"/>
    <s v="High"/>
    <s v="Low Risk"/>
  </r>
  <r>
    <x v="196"/>
    <x v="1"/>
    <s v="No"/>
    <x v="0"/>
    <x v="1"/>
    <s v="No"/>
    <n v="13284"/>
    <n v="8901"/>
    <n v="527"/>
    <n v="120"/>
    <x v="1"/>
    <x v="2"/>
    <x v="0"/>
    <n v="22185"/>
    <s v="High"/>
    <s v="High Risk"/>
  </r>
  <r>
    <x v="197"/>
    <x v="1"/>
    <s v="No"/>
    <x v="1"/>
    <x v="1"/>
    <s v="No"/>
    <n v="15063"/>
    <n v="0"/>
    <n v="199"/>
    <n v="120"/>
    <x v="0"/>
    <x v="2"/>
    <x v="0"/>
    <n v="15063"/>
    <s v="High"/>
    <s v="Low Risk"/>
  </r>
  <r>
    <x v="198"/>
    <x v="1"/>
    <s v="No"/>
    <x v="1"/>
    <x v="0"/>
    <s v="No"/>
    <n v="9037"/>
    <n v="0"/>
    <n v="561"/>
    <n v="360"/>
    <x v="0"/>
    <x v="2"/>
    <x v="0"/>
    <n v="9037"/>
    <s v="Medium"/>
    <s v="Low Risk"/>
  </r>
  <r>
    <x v="199"/>
    <x v="1"/>
    <s v="No"/>
    <x v="3"/>
    <x v="1"/>
    <s v="No"/>
    <n v="7012"/>
    <n v="12505"/>
    <n v="223"/>
    <n v="180"/>
    <x v="0"/>
    <x v="1"/>
    <x v="0"/>
    <n v="19517"/>
    <s v="High"/>
    <s v="Low Risk"/>
  </r>
  <r>
    <x v="200"/>
    <x v="0"/>
    <s v="Yes"/>
    <x v="2"/>
    <x v="0"/>
    <s v="Yes"/>
    <n v="1709"/>
    <n v="0"/>
    <n v="695"/>
    <n v="180"/>
    <x v="0"/>
    <x v="0"/>
    <x v="1"/>
    <n v="1709"/>
    <s v="Low"/>
    <s v="Low Risk"/>
  </r>
  <r>
    <x v="201"/>
    <x v="0"/>
    <s v="Yes"/>
    <x v="3"/>
    <x v="1"/>
    <s v="Yes"/>
    <n v="21745"/>
    <n v="10948"/>
    <n v="549"/>
    <n v="120"/>
    <x v="0"/>
    <x v="2"/>
    <x v="0"/>
    <n v="32693"/>
    <s v="High"/>
    <s v="Low Risk"/>
  </r>
  <r>
    <x v="202"/>
    <x v="1"/>
    <s v="Yes"/>
    <x v="2"/>
    <x v="1"/>
    <s v="No"/>
    <n v="2061"/>
    <n v="8728"/>
    <n v="233"/>
    <n v="120"/>
    <x v="1"/>
    <x v="2"/>
    <x v="0"/>
    <n v="10789"/>
    <s v="High"/>
    <s v="High Risk"/>
  </r>
  <r>
    <x v="203"/>
    <x v="0"/>
    <s v="Yes"/>
    <x v="1"/>
    <x v="1"/>
    <s v="No"/>
    <n v="10259"/>
    <n v="13524"/>
    <n v="130"/>
    <n v="240"/>
    <x v="1"/>
    <x v="1"/>
    <x v="0"/>
    <n v="23783"/>
    <s v="High"/>
    <s v="High Risk"/>
  </r>
  <r>
    <x v="204"/>
    <x v="0"/>
    <s v="Yes"/>
    <x v="0"/>
    <x v="0"/>
    <s v="Yes"/>
    <n v="4563"/>
    <n v="7140"/>
    <n v="436"/>
    <n v="360"/>
    <x v="0"/>
    <x v="2"/>
    <x v="0"/>
    <n v="11703"/>
    <s v="High"/>
    <s v="Low Risk"/>
  </r>
  <r>
    <x v="205"/>
    <x v="0"/>
    <s v="Yes"/>
    <x v="2"/>
    <x v="1"/>
    <s v="No"/>
    <n v="22632"/>
    <n v="13351"/>
    <n v="629"/>
    <n v="120"/>
    <x v="1"/>
    <x v="0"/>
    <x v="0"/>
    <n v="35983"/>
    <s v="High"/>
    <s v="High Risk"/>
  </r>
  <r>
    <x v="206"/>
    <x v="0"/>
    <s v="Yes"/>
    <x v="3"/>
    <x v="1"/>
    <s v="Yes"/>
    <n v="3936"/>
    <n v="11713"/>
    <n v="606"/>
    <n v="360"/>
    <x v="0"/>
    <x v="0"/>
    <x v="0"/>
    <n v="15649"/>
    <s v="High"/>
    <s v="Low Risk"/>
  </r>
  <r>
    <x v="207"/>
    <x v="1"/>
    <s v="Yes"/>
    <x v="1"/>
    <x v="0"/>
    <s v="No"/>
    <n v="4021"/>
    <n v="0"/>
    <n v="627"/>
    <n v="180"/>
    <x v="0"/>
    <x v="1"/>
    <x v="0"/>
    <n v="4021"/>
    <s v="Low"/>
    <s v="Low Risk"/>
  </r>
  <r>
    <x v="208"/>
    <x v="1"/>
    <s v="No"/>
    <x v="1"/>
    <x v="0"/>
    <s v="No"/>
    <n v="3259"/>
    <n v="2100"/>
    <n v="287"/>
    <n v="120"/>
    <x v="0"/>
    <x v="2"/>
    <x v="0"/>
    <n v="5359"/>
    <s v="Medium"/>
    <s v="Low Risk"/>
  </r>
  <r>
    <x v="209"/>
    <x v="1"/>
    <s v="No"/>
    <x v="2"/>
    <x v="1"/>
    <s v="No"/>
    <n v="17576"/>
    <n v="4237"/>
    <n v="616"/>
    <n v="300"/>
    <x v="0"/>
    <x v="2"/>
    <x v="0"/>
    <n v="21813"/>
    <s v="High"/>
    <s v="Low Risk"/>
  </r>
  <r>
    <x v="210"/>
    <x v="1"/>
    <s v="Yes"/>
    <x v="0"/>
    <x v="0"/>
    <s v="Yes"/>
    <n v="4188"/>
    <n v="0"/>
    <n v="439"/>
    <n v="180"/>
    <x v="0"/>
    <x v="1"/>
    <x v="0"/>
    <n v="4188"/>
    <s v="Low"/>
    <s v="Low Risk"/>
  </r>
  <r>
    <x v="211"/>
    <x v="1"/>
    <s v="Yes"/>
    <x v="2"/>
    <x v="0"/>
    <s v="No"/>
    <n v="16073"/>
    <n v="6396"/>
    <n v="154"/>
    <n v="180"/>
    <x v="0"/>
    <x v="1"/>
    <x v="0"/>
    <n v="22469"/>
    <s v="High"/>
    <s v="Low Risk"/>
  </r>
  <r>
    <x v="212"/>
    <x v="1"/>
    <s v="No"/>
    <x v="2"/>
    <x v="0"/>
    <s v="Yes"/>
    <n v="13097"/>
    <n v="0"/>
    <n v="661"/>
    <n v="360"/>
    <x v="1"/>
    <x v="1"/>
    <x v="0"/>
    <n v="13097"/>
    <s v="High"/>
    <s v="High Risk"/>
  </r>
  <r>
    <x v="213"/>
    <x v="0"/>
    <s v="No"/>
    <x v="3"/>
    <x v="1"/>
    <s v="Yes"/>
    <n v="19834"/>
    <n v="0"/>
    <n v="439"/>
    <n v="180"/>
    <x v="0"/>
    <x v="1"/>
    <x v="0"/>
    <n v="19834"/>
    <s v="High"/>
    <s v="Low Risk"/>
  </r>
  <r>
    <x v="214"/>
    <x v="1"/>
    <s v="No"/>
    <x v="1"/>
    <x v="0"/>
    <s v="Yes"/>
    <n v="15743"/>
    <n v="5021"/>
    <n v="356"/>
    <n v="300"/>
    <x v="1"/>
    <x v="1"/>
    <x v="0"/>
    <n v="20764"/>
    <s v="High"/>
    <s v="High Risk"/>
  </r>
  <r>
    <x v="215"/>
    <x v="1"/>
    <s v="Yes"/>
    <x v="3"/>
    <x v="0"/>
    <s v="No"/>
    <n v="5005"/>
    <n v="2719"/>
    <n v="56"/>
    <n v="300"/>
    <x v="0"/>
    <x v="2"/>
    <x v="0"/>
    <n v="7724"/>
    <s v="Medium"/>
    <s v="Low Risk"/>
  </r>
  <r>
    <x v="216"/>
    <x v="1"/>
    <s v="No"/>
    <x v="3"/>
    <x v="1"/>
    <s v="No"/>
    <n v="22833"/>
    <n v="0"/>
    <n v="357"/>
    <n v="240"/>
    <x v="0"/>
    <x v="2"/>
    <x v="0"/>
    <n v="22833"/>
    <s v="High"/>
    <s v="Low Risk"/>
  </r>
  <r>
    <x v="217"/>
    <x v="0"/>
    <s v="No"/>
    <x v="0"/>
    <x v="0"/>
    <s v="No"/>
    <n v="11957"/>
    <n v="5275"/>
    <n v="639"/>
    <n v="180"/>
    <x v="0"/>
    <x v="1"/>
    <x v="0"/>
    <n v="17232"/>
    <s v="High"/>
    <s v="Low Risk"/>
  </r>
  <r>
    <x v="218"/>
    <x v="1"/>
    <s v="No"/>
    <x v="2"/>
    <x v="0"/>
    <s v="Yes"/>
    <n v="23838"/>
    <n v="0"/>
    <n v="522"/>
    <n v="180"/>
    <x v="0"/>
    <x v="1"/>
    <x v="0"/>
    <n v="23838"/>
    <s v="High"/>
    <s v="Low Risk"/>
  </r>
  <r>
    <x v="219"/>
    <x v="0"/>
    <s v="No"/>
    <x v="3"/>
    <x v="0"/>
    <s v="No"/>
    <n v="9430"/>
    <n v="0"/>
    <n v="483"/>
    <n v="300"/>
    <x v="0"/>
    <x v="2"/>
    <x v="0"/>
    <n v="9430"/>
    <s v="Medium"/>
    <s v="Low Risk"/>
  </r>
  <r>
    <x v="220"/>
    <x v="1"/>
    <s v="No"/>
    <x v="3"/>
    <x v="0"/>
    <s v="No"/>
    <n v="24491"/>
    <n v="0"/>
    <n v="161"/>
    <n v="180"/>
    <x v="0"/>
    <x v="1"/>
    <x v="0"/>
    <n v="24491"/>
    <s v="High"/>
    <s v="Low Risk"/>
  </r>
  <r>
    <x v="221"/>
    <x v="0"/>
    <s v="Yes"/>
    <x v="3"/>
    <x v="1"/>
    <s v="No"/>
    <n v="4971"/>
    <n v="0"/>
    <n v="314"/>
    <n v="180"/>
    <x v="0"/>
    <x v="2"/>
    <x v="1"/>
    <n v="4971"/>
    <s v="Low"/>
    <s v="Low Risk"/>
  </r>
  <r>
    <x v="222"/>
    <x v="0"/>
    <s v="No"/>
    <x v="0"/>
    <x v="1"/>
    <s v="No"/>
    <n v="23767"/>
    <n v="0"/>
    <n v="403"/>
    <n v="120"/>
    <x v="0"/>
    <x v="1"/>
    <x v="0"/>
    <n v="23767"/>
    <s v="High"/>
    <s v="Low Risk"/>
  </r>
  <r>
    <x v="223"/>
    <x v="1"/>
    <s v="Yes"/>
    <x v="2"/>
    <x v="0"/>
    <s v="No"/>
    <n v="11720"/>
    <n v="6120"/>
    <n v="261"/>
    <n v="360"/>
    <x v="0"/>
    <x v="1"/>
    <x v="0"/>
    <n v="17840"/>
    <s v="High"/>
    <s v="Low Risk"/>
  </r>
  <r>
    <x v="224"/>
    <x v="0"/>
    <s v="No"/>
    <x v="3"/>
    <x v="1"/>
    <s v="Yes"/>
    <n v="11339"/>
    <n v="0"/>
    <n v="73"/>
    <n v="240"/>
    <x v="0"/>
    <x v="2"/>
    <x v="0"/>
    <n v="11339"/>
    <s v="High"/>
    <s v="Low Risk"/>
  </r>
  <r>
    <x v="225"/>
    <x v="0"/>
    <s v="Yes"/>
    <x v="1"/>
    <x v="0"/>
    <s v="No"/>
    <n v="19845"/>
    <n v="7485"/>
    <n v="287"/>
    <n v="300"/>
    <x v="0"/>
    <x v="0"/>
    <x v="0"/>
    <n v="27330"/>
    <s v="High"/>
    <s v="Low Risk"/>
  </r>
  <r>
    <x v="226"/>
    <x v="1"/>
    <s v="No"/>
    <x v="2"/>
    <x v="0"/>
    <s v="No"/>
    <n v="20905"/>
    <n v="7537"/>
    <n v="54"/>
    <n v="180"/>
    <x v="0"/>
    <x v="2"/>
    <x v="0"/>
    <n v="28442"/>
    <s v="High"/>
    <s v="Low Risk"/>
  </r>
  <r>
    <x v="227"/>
    <x v="0"/>
    <s v="Yes"/>
    <x v="1"/>
    <x v="1"/>
    <s v="No"/>
    <n v="7957"/>
    <n v="0"/>
    <n v="318"/>
    <n v="300"/>
    <x v="0"/>
    <x v="2"/>
    <x v="0"/>
    <n v="7957"/>
    <s v="Medium"/>
    <s v="Low Risk"/>
  </r>
  <r>
    <x v="228"/>
    <x v="1"/>
    <s v="No"/>
    <x v="3"/>
    <x v="0"/>
    <s v="No"/>
    <n v="13033"/>
    <n v="14352"/>
    <n v="682"/>
    <n v="180"/>
    <x v="1"/>
    <x v="2"/>
    <x v="0"/>
    <n v="27385"/>
    <s v="High"/>
    <s v="High Risk"/>
  </r>
  <r>
    <x v="229"/>
    <x v="1"/>
    <s v="Yes"/>
    <x v="1"/>
    <x v="1"/>
    <s v="Yes"/>
    <n v="9317"/>
    <n v="0"/>
    <n v="237"/>
    <n v="240"/>
    <x v="0"/>
    <x v="2"/>
    <x v="0"/>
    <n v="9317"/>
    <s v="Medium"/>
    <s v="Low Risk"/>
  </r>
  <r>
    <x v="230"/>
    <x v="1"/>
    <s v="No"/>
    <x v="1"/>
    <x v="1"/>
    <s v="No"/>
    <n v="7586"/>
    <n v="0"/>
    <n v="618"/>
    <n v="180"/>
    <x v="0"/>
    <x v="0"/>
    <x v="0"/>
    <n v="7586"/>
    <s v="Medium"/>
    <s v="Low Risk"/>
  </r>
  <r>
    <x v="231"/>
    <x v="0"/>
    <s v="No"/>
    <x v="3"/>
    <x v="0"/>
    <s v="No"/>
    <n v="1814"/>
    <n v="0"/>
    <n v="249"/>
    <n v="300"/>
    <x v="1"/>
    <x v="2"/>
    <x v="1"/>
    <n v="1814"/>
    <s v="Low"/>
    <s v="High Risk"/>
  </r>
  <r>
    <x v="232"/>
    <x v="1"/>
    <s v="No"/>
    <x v="3"/>
    <x v="1"/>
    <s v="No"/>
    <n v="17513"/>
    <n v="0"/>
    <n v="628"/>
    <n v="120"/>
    <x v="1"/>
    <x v="0"/>
    <x v="0"/>
    <n v="17513"/>
    <s v="High"/>
    <s v="High Risk"/>
  </r>
  <r>
    <x v="233"/>
    <x v="1"/>
    <s v="Yes"/>
    <x v="0"/>
    <x v="0"/>
    <s v="No"/>
    <n v="7011"/>
    <n v="13291"/>
    <n v="629"/>
    <n v="300"/>
    <x v="0"/>
    <x v="0"/>
    <x v="0"/>
    <n v="20302"/>
    <s v="High"/>
    <s v="Low Risk"/>
  </r>
  <r>
    <x v="234"/>
    <x v="0"/>
    <s v="No"/>
    <x v="0"/>
    <x v="0"/>
    <s v="No"/>
    <n v="19402"/>
    <n v="4080"/>
    <n v="154"/>
    <n v="180"/>
    <x v="0"/>
    <x v="0"/>
    <x v="0"/>
    <n v="23482"/>
    <s v="High"/>
    <s v="Low Risk"/>
  </r>
  <r>
    <x v="235"/>
    <x v="1"/>
    <s v="No"/>
    <x v="0"/>
    <x v="0"/>
    <s v="No"/>
    <n v="5346"/>
    <n v="0"/>
    <n v="264"/>
    <n v="360"/>
    <x v="0"/>
    <x v="2"/>
    <x v="0"/>
    <n v="5346"/>
    <s v="Medium"/>
    <s v="Low Risk"/>
  </r>
  <r>
    <x v="236"/>
    <x v="1"/>
    <s v="Yes"/>
    <x v="1"/>
    <x v="0"/>
    <s v="Yes"/>
    <n v="3445"/>
    <n v="9840"/>
    <n v="595"/>
    <n v="240"/>
    <x v="0"/>
    <x v="0"/>
    <x v="0"/>
    <n v="13285"/>
    <s v="High"/>
    <s v="Low Risk"/>
  </r>
  <r>
    <x v="237"/>
    <x v="1"/>
    <s v="No"/>
    <x v="0"/>
    <x v="1"/>
    <s v="Yes"/>
    <n v="5942"/>
    <n v="12789"/>
    <n v="110"/>
    <n v="240"/>
    <x v="1"/>
    <x v="0"/>
    <x v="0"/>
    <n v="18731"/>
    <s v="High"/>
    <s v="High Risk"/>
  </r>
  <r>
    <x v="238"/>
    <x v="0"/>
    <s v="Yes"/>
    <x v="1"/>
    <x v="1"/>
    <s v="Yes"/>
    <n v="23658"/>
    <n v="6934"/>
    <n v="195"/>
    <n v="360"/>
    <x v="0"/>
    <x v="2"/>
    <x v="0"/>
    <n v="30592"/>
    <s v="High"/>
    <s v="Low Risk"/>
  </r>
  <r>
    <x v="239"/>
    <x v="1"/>
    <s v="No"/>
    <x v="3"/>
    <x v="0"/>
    <s v="Yes"/>
    <n v="14700"/>
    <n v="8947"/>
    <n v="427"/>
    <n v="300"/>
    <x v="1"/>
    <x v="1"/>
    <x v="0"/>
    <n v="23647"/>
    <s v="High"/>
    <s v="High Risk"/>
  </r>
  <r>
    <x v="240"/>
    <x v="0"/>
    <s v="Yes"/>
    <x v="3"/>
    <x v="1"/>
    <s v="Yes"/>
    <n v="19012"/>
    <n v="0"/>
    <n v="489"/>
    <n v="180"/>
    <x v="0"/>
    <x v="1"/>
    <x v="0"/>
    <n v="19012"/>
    <s v="High"/>
    <s v="Low Risk"/>
  </r>
  <r>
    <x v="241"/>
    <x v="1"/>
    <s v="No"/>
    <x v="1"/>
    <x v="1"/>
    <s v="No"/>
    <n v="23865"/>
    <n v="0"/>
    <n v="97"/>
    <n v="120"/>
    <x v="0"/>
    <x v="1"/>
    <x v="0"/>
    <n v="23865"/>
    <s v="High"/>
    <s v="Low Risk"/>
  </r>
  <r>
    <x v="242"/>
    <x v="0"/>
    <s v="Yes"/>
    <x v="1"/>
    <x v="1"/>
    <s v="No"/>
    <n v="1522"/>
    <n v="0"/>
    <n v="185"/>
    <n v="240"/>
    <x v="0"/>
    <x v="1"/>
    <x v="1"/>
    <n v="1522"/>
    <s v="Low"/>
    <s v="Low Risk"/>
  </r>
  <r>
    <x v="243"/>
    <x v="0"/>
    <s v="No"/>
    <x v="0"/>
    <x v="0"/>
    <s v="No"/>
    <n v="23274"/>
    <n v="0"/>
    <n v="103"/>
    <n v="300"/>
    <x v="0"/>
    <x v="2"/>
    <x v="0"/>
    <n v="23274"/>
    <s v="High"/>
    <s v="Low Risk"/>
  </r>
  <r>
    <x v="244"/>
    <x v="0"/>
    <s v="No"/>
    <x v="2"/>
    <x v="0"/>
    <s v="Yes"/>
    <n v="8493"/>
    <n v="0"/>
    <n v="185"/>
    <n v="360"/>
    <x v="0"/>
    <x v="2"/>
    <x v="0"/>
    <n v="8493"/>
    <s v="Medium"/>
    <s v="Low Risk"/>
  </r>
  <r>
    <x v="245"/>
    <x v="1"/>
    <s v="Yes"/>
    <x v="2"/>
    <x v="1"/>
    <s v="Yes"/>
    <n v="15338"/>
    <n v="0"/>
    <n v="539"/>
    <n v="120"/>
    <x v="0"/>
    <x v="0"/>
    <x v="0"/>
    <n v="15338"/>
    <s v="High"/>
    <s v="Low Risk"/>
  </r>
  <r>
    <x v="246"/>
    <x v="0"/>
    <s v="Yes"/>
    <x v="0"/>
    <x v="1"/>
    <s v="No"/>
    <n v="5993"/>
    <n v="0"/>
    <n v="196"/>
    <n v="120"/>
    <x v="0"/>
    <x v="0"/>
    <x v="0"/>
    <n v="5993"/>
    <s v="Medium"/>
    <s v="Low Risk"/>
  </r>
  <r>
    <x v="247"/>
    <x v="0"/>
    <s v="No"/>
    <x v="0"/>
    <x v="0"/>
    <s v="Yes"/>
    <n v="14990"/>
    <n v="10593"/>
    <n v="272"/>
    <n v="120"/>
    <x v="1"/>
    <x v="0"/>
    <x v="0"/>
    <n v="25583"/>
    <s v="High"/>
    <s v="High Risk"/>
  </r>
  <r>
    <x v="248"/>
    <x v="0"/>
    <s v="No"/>
    <x v="0"/>
    <x v="1"/>
    <s v="No"/>
    <n v="6081"/>
    <n v="4559"/>
    <n v="136"/>
    <n v="180"/>
    <x v="0"/>
    <x v="2"/>
    <x v="0"/>
    <n v="10640"/>
    <s v="High"/>
    <s v="Low Risk"/>
  </r>
  <r>
    <x v="249"/>
    <x v="1"/>
    <s v="Yes"/>
    <x v="0"/>
    <x v="0"/>
    <s v="Yes"/>
    <n v="14336"/>
    <n v="0"/>
    <n v="295"/>
    <n v="300"/>
    <x v="0"/>
    <x v="0"/>
    <x v="0"/>
    <n v="14336"/>
    <s v="High"/>
    <s v="Low Risk"/>
  </r>
  <r>
    <x v="250"/>
    <x v="1"/>
    <s v="Yes"/>
    <x v="2"/>
    <x v="1"/>
    <s v="No"/>
    <n v="5824"/>
    <n v="6837"/>
    <n v="424"/>
    <n v="360"/>
    <x v="0"/>
    <x v="1"/>
    <x v="0"/>
    <n v="12661"/>
    <s v="High"/>
    <s v="Low Risk"/>
  </r>
  <r>
    <x v="251"/>
    <x v="0"/>
    <s v="Yes"/>
    <x v="2"/>
    <x v="0"/>
    <s v="No"/>
    <n v="8569"/>
    <n v="0"/>
    <n v="457"/>
    <n v="360"/>
    <x v="0"/>
    <x v="2"/>
    <x v="0"/>
    <n v="8569"/>
    <s v="Medium"/>
    <s v="Low Risk"/>
  </r>
  <r>
    <x v="252"/>
    <x v="1"/>
    <s v="No"/>
    <x v="3"/>
    <x v="0"/>
    <s v="Yes"/>
    <n v="10592"/>
    <n v="1869"/>
    <n v="130"/>
    <n v="360"/>
    <x v="1"/>
    <x v="0"/>
    <x v="0"/>
    <n v="12461"/>
    <s v="High"/>
    <s v="High Risk"/>
  </r>
  <r>
    <x v="253"/>
    <x v="1"/>
    <s v="No"/>
    <x v="2"/>
    <x v="1"/>
    <s v="No"/>
    <n v="9319"/>
    <n v="0"/>
    <n v="138"/>
    <n v="300"/>
    <x v="0"/>
    <x v="2"/>
    <x v="0"/>
    <n v="9319"/>
    <s v="Medium"/>
    <s v="Low Risk"/>
  </r>
  <r>
    <x v="254"/>
    <x v="0"/>
    <s v="No"/>
    <x v="1"/>
    <x v="0"/>
    <s v="Yes"/>
    <n v="24696"/>
    <n v="0"/>
    <n v="217"/>
    <n v="300"/>
    <x v="1"/>
    <x v="2"/>
    <x v="0"/>
    <n v="24696"/>
    <s v="High"/>
    <s v="High Risk"/>
  </r>
  <r>
    <x v="255"/>
    <x v="1"/>
    <s v="Yes"/>
    <x v="0"/>
    <x v="0"/>
    <s v="No"/>
    <n v="5368"/>
    <n v="0"/>
    <n v="393"/>
    <n v="300"/>
    <x v="0"/>
    <x v="0"/>
    <x v="0"/>
    <n v="5368"/>
    <s v="Medium"/>
    <s v="Low Risk"/>
  </r>
  <r>
    <x v="256"/>
    <x v="1"/>
    <s v="Yes"/>
    <x v="3"/>
    <x v="1"/>
    <s v="No"/>
    <n v="3316"/>
    <n v="0"/>
    <n v="426"/>
    <n v="180"/>
    <x v="0"/>
    <x v="0"/>
    <x v="1"/>
    <n v="3316"/>
    <s v="Low"/>
    <s v="Low Risk"/>
  </r>
  <r>
    <x v="257"/>
    <x v="0"/>
    <s v="Yes"/>
    <x v="2"/>
    <x v="0"/>
    <s v="Yes"/>
    <n v="9513"/>
    <n v="1253"/>
    <n v="422"/>
    <n v="300"/>
    <x v="1"/>
    <x v="0"/>
    <x v="0"/>
    <n v="10766"/>
    <s v="High"/>
    <s v="High Risk"/>
  </r>
  <r>
    <x v="258"/>
    <x v="0"/>
    <s v="No"/>
    <x v="1"/>
    <x v="1"/>
    <s v="Yes"/>
    <n v="15139"/>
    <n v="12301"/>
    <n v="327"/>
    <n v="120"/>
    <x v="0"/>
    <x v="0"/>
    <x v="0"/>
    <n v="27440"/>
    <s v="High"/>
    <s v="Low Risk"/>
  </r>
  <r>
    <x v="259"/>
    <x v="0"/>
    <s v="Yes"/>
    <x v="1"/>
    <x v="0"/>
    <s v="No"/>
    <n v="3758"/>
    <n v="14868"/>
    <n v="339"/>
    <n v="240"/>
    <x v="0"/>
    <x v="2"/>
    <x v="0"/>
    <n v="18626"/>
    <s v="High"/>
    <s v="Low Risk"/>
  </r>
  <r>
    <x v="260"/>
    <x v="1"/>
    <s v="Yes"/>
    <x v="0"/>
    <x v="0"/>
    <s v="No"/>
    <n v="19974"/>
    <n v="13353"/>
    <n v="687"/>
    <n v="180"/>
    <x v="0"/>
    <x v="2"/>
    <x v="0"/>
    <n v="33327"/>
    <s v="High"/>
    <s v="Low Risk"/>
  </r>
  <r>
    <x v="261"/>
    <x v="1"/>
    <s v="Yes"/>
    <x v="1"/>
    <x v="0"/>
    <s v="Yes"/>
    <n v="14936"/>
    <n v="0"/>
    <n v="604"/>
    <n v="240"/>
    <x v="0"/>
    <x v="2"/>
    <x v="0"/>
    <n v="14936"/>
    <s v="High"/>
    <s v="Low Risk"/>
  </r>
  <r>
    <x v="262"/>
    <x v="0"/>
    <s v="No"/>
    <x v="2"/>
    <x v="1"/>
    <s v="No"/>
    <n v="4906"/>
    <n v="0"/>
    <n v="479"/>
    <n v="300"/>
    <x v="1"/>
    <x v="0"/>
    <x v="1"/>
    <n v="4906"/>
    <s v="Low"/>
    <s v="High Risk"/>
  </r>
  <r>
    <x v="263"/>
    <x v="1"/>
    <s v="Yes"/>
    <x v="2"/>
    <x v="0"/>
    <s v="No"/>
    <n v="24465"/>
    <n v="6602"/>
    <n v="136"/>
    <n v="360"/>
    <x v="0"/>
    <x v="0"/>
    <x v="0"/>
    <n v="31067"/>
    <s v="High"/>
    <s v="Low Risk"/>
  </r>
  <r>
    <x v="264"/>
    <x v="1"/>
    <s v="Yes"/>
    <x v="2"/>
    <x v="1"/>
    <s v="Yes"/>
    <n v="9258"/>
    <n v="5278"/>
    <n v="372"/>
    <n v="300"/>
    <x v="0"/>
    <x v="2"/>
    <x v="0"/>
    <n v="14536"/>
    <s v="High"/>
    <s v="Low Risk"/>
  </r>
  <r>
    <x v="265"/>
    <x v="1"/>
    <s v="No"/>
    <x v="3"/>
    <x v="1"/>
    <s v="Yes"/>
    <n v="3947"/>
    <n v="0"/>
    <n v="648"/>
    <n v="120"/>
    <x v="0"/>
    <x v="0"/>
    <x v="1"/>
    <n v="3947"/>
    <s v="Low"/>
    <s v="Low Risk"/>
  </r>
  <r>
    <x v="266"/>
    <x v="1"/>
    <s v="No"/>
    <x v="0"/>
    <x v="1"/>
    <s v="Yes"/>
    <n v="19061"/>
    <n v="0"/>
    <n v="512"/>
    <n v="240"/>
    <x v="0"/>
    <x v="0"/>
    <x v="0"/>
    <n v="19061"/>
    <s v="High"/>
    <s v="Low Risk"/>
  </r>
  <r>
    <x v="267"/>
    <x v="0"/>
    <s v="Yes"/>
    <x v="0"/>
    <x v="0"/>
    <s v="Yes"/>
    <n v="12241"/>
    <n v="0"/>
    <n v="304"/>
    <n v="240"/>
    <x v="0"/>
    <x v="0"/>
    <x v="0"/>
    <n v="12241"/>
    <s v="High"/>
    <s v="Low Risk"/>
  </r>
  <r>
    <x v="268"/>
    <x v="1"/>
    <s v="No"/>
    <x v="1"/>
    <x v="0"/>
    <s v="No"/>
    <n v="16317"/>
    <n v="0"/>
    <n v="146"/>
    <n v="300"/>
    <x v="0"/>
    <x v="0"/>
    <x v="0"/>
    <n v="16317"/>
    <s v="High"/>
    <s v="Low Risk"/>
  </r>
  <r>
    <x v="269"/>
    <x v="0"/>
    <s v="Yes"/>
    <x v="2"/>
    <x v="0"/>
    <s v="Yes"/>
    <n v="7992"/>
    <n v="13995"/>
    <n v="431"/>
    <n v="120"/>
    <x v="0"/>
    <x v="1"/>
    <x v="0"/>
    <n v="21987"/>
    <s v="High"/>
    <s v="Low Risk"/>
  </r>
  <r>
    <x v="270"/>
    <x v="0"/>
    <s v="Yes"/>
    <x v="2"/>
    <x v="0"/>
    <s v="No"/>
    <n v="5720"/>
    <n v="2006"/>
    <n v="175"/>
    <n v="120"/>
    <x v="1"/>
    <x v="0"/>
    <x v="0"/>
    <n v="7726"/>
    <s v="Medium"/>
    <s v="High Risk"/>
  </r>
  <r>
    <x v="271"/>
    <x v="0"/>
    <s v="No"/>
    <x v="3"/>
    <x v="1"/>
    <s v="Yes"/>
    <n v="14041"/>
    <n v="11693"/>
    <n v="226"/>
    <n v="240"/>
    <x v="0"/>
    <x v="0"/>
    <x v="0"/>
    <n v="25734"/>
    <s v="High"/>
    <s v="Low Risk"/>
  </r>
  <r>
    <x v="272"/>
    <x v="1"/>
    <s v="No"/>
    <x v="3"/>
    <x v="0"/>
    <s v="Yes"/>
    <n v="21623"/>
    <n v="0"/>
    <n v="352"/>
    <n v="300"/>
    <x v="0"/>
    <x v="2"/>
    <x v="0"/>
    <n v="21623"/>
    <s v="High"/>
    <s v="Low Risk"/>
  </r>
  <r>
    <x v="273"/>
    <x v="1"/>
    <s v="Yes"/>
    <x v="2"/>
    <x v="1"/>
    <s v="No"/>
    <n v="5996"/>
    <n v="0"/>
    <n v="588"/>
    <n v="180"/>
    <x v="0"/>
    <x v="2"/>
    <x v="0"/>
    <n v="5996"/>
    <s v="Medium"/>
    <s v="Low Risk"/>
  </r>
  <r>
    <x v="274"/>
    <x v="0"/>
    <s v="No"/>
    <x v="0"/>
    <x v="1"/>
    <s v="No"/>
    <n v="12773"/>
    <n v="9767"/>
    <n v="447"/>
    <n v="240"/>
    <x v="0"/>
    <x v="1"/>
    <x v="0"/>
    <n v="22540"/>
    <s v="High"/>
    <s v="Low Risk"/>
  </r>
  <r>
    <x v="275"/>
    <x v="0"/>
    <s v="Yes"/>
    <x v="0"/>
    <x v="0"/>
    <s v="No"/>
    <n v="18848"/>
    <n v="0"/>
    <n v="213"/>
    <n v="120"/>
    <x v="0"/>
    <x v="0"/>
    <x v="0"/>
    <n v="18848"/>
    <s v="High"/>
    <s v="Low Risk"/>
  </r>
  <r>
    <x v="276"/>
    <x v="1"/>
    <s v="Yes"/>
    <x v="1"/>
    <x v="1"/>
    <s v="No"/>
    <n v="7192"/>
    <n v="0"/>
    <n v="656"/>
    <n v="240"/>
    <x v="1"/>
    <x v="2"/>
    <x v="1"/>
    <n v="7192"/>
    <s v="Medium"/>
    <s v="High Risk"/>
  </r>
  <r>
    <x v="277"/>
    <x v="1"/>
    <s v="Yes"/>
    <x v="0"/>
    <x v="0"/>
    <s v="Yes"/>
    <n v="17629"/>
    <n v="9382"/>
    <n v="229"/>
    <n v="300"/>
    <x v="0"/>
    <x v="0"/>
    <x v="0"/>
    <n v="27011"/>
    <s v="High"/>
    <s v="Low Risk"/>
  </r>
  <r>
    <x v="278"/>
    <x v="0"/>
    <s v="Yes"/>
    <x v="2"/>
    <x v="1"/>
    <s v="Yes"/>
    <n v="12370"/>
    <n v="0"/>
    <n v="183"/>
    <n v="240"/>
    <x v="0"/>
    <x v="1"/>
    <x v="0"/>
    <n v="12370"/>
    <s v="High"/>
    <s v="Low Risk"/>
  </r>
  <r>
    <x v="279"/>
    <x v="0"/>
    <s v="Yes"/>
    <x v="1"/>
    <x v="0"/>
    <s v="Yes"/>
    <n v="18745"/>
    <n v="14601"/>
    <n v="124"/>
    <n v="240"/>
    <x v="0"/>
    <x v="2"/>
    <x v="0"/>
    <n v="33346"/>
    <s v="High"/>
    <s v="Low Risk"/>
  </r>
  <r>
    <x v="280"/>
    <x v="1"/>
    <s v="Yes"/>
    <x v="0"/>
    <x v="1"/>
    <s v="No"/>
    <n v="5971"/>
    <n v="3080"/>
    <n v="548"/>
    <n v="240"/>
    <x v="0"/>
    <x v="2"/>
    <x v="0"/>
    <n v="9051"/>
    <s v="Medium"/>
    <s v="Low Risk"/>
  </r>
  <r>
    <x v="281"/>
    <x v="1"/>
    <s v="Yes"/>
    <x v="1"/>
    <x v="1"/>
    <s v="No"/>
    <n v="24060"/>
    <n v="0"/>
    <n v="231"/>
    <n v="120"/>
    <x v="1"/>
    <x v="2"/>
    <x v="0"/>
    <n v="24060"/>
    <s v="High"/>
    <s v="High Risk"/>
  </r>
  <r>
    <x v="282"/>
    <x v="1"/>
    <s v="Yes"/>
    <x v="1"/>
    <x v="1"/>
    <s v="Yes"/>
    <n v="22459"/>
    <n v="0"/>
    <n v="558"/>
    <n v="180"/>
    <x v="0"/>
    <x v="0"/>
    <x v="0"/>
    <n v="22459"/>
    <s v="High"/>
    <s v="Low Risk"/>
  </r>
  <r>
    <x v="283"/>
    <x v="0"/>
    <s v="No"/>
    <x v="0"/>
    <x v="0"/>
    <s v="Yes"/>
    <n v="24731"/>
    <n v="11477"/>
    <n v="507"/>
    <n v="120"/>
    <x v="0"/>
    <x v="0"/>
    <x v="0"/>
    <n v="36208"/>
    <s v="High"/>
    <s v="Low Risk"/>
  </r>
  <r>
    <x v="284"/>
    <x v="0"/>
    <s v="No"/>
    <x v="0"/>
    <x v="0"/>
    <s v="Yes"/>
    <n v="3077"/>
    <n v="6823"/>
    <n v="479"/>
    <n v="180"/>
    <x v="1"/>
    <x v="1"/>
    <x v="0"/>
    <n v="9900"/>
    <s v="Medium"/>
    <s v="High Risk"/>
  </r>
  <r>
    <x v="285"/>
    <x v="1"/>
    <s v="No"/>
    <x v="3"/>
    <x v="0"/>
    <s v="No"/>
    <n v="20441"/>
    <n v="0"/>
    <n v="216"/>
    <n v="300"/>
    <x v="0"/>
    <x v="0"/>
    <x v="0"/>
    <n v="20441"/>
    <s v="High"/>
    <s v="Low Risk"/>
  </r>
  <r>
    <x v="286"/>
    <x v="1"/>
    <s v="Yes"/>
    <x v="0"/>
    <x v="1"/>
    <s v="Yes"/>
    <n v="3931"/>
    <n v="0"/>
    <n v="434"/>
    <n v="180"/>
    <x v="0"/>
    <x v="2"/>
    <x v="1"/>
    <n v="3931"/>
    <s v="Low"/>
    <s v="Low Risk"/>
  </r>
  <r>
    <x v="287"/>
    <x v="0"/>
    <s v="No"/>
    <x v="3"/>
    <x v="0"/>
    <s v="No"/>
    <n v="22918"/>
    <n v="3203"/>
    <n v="210"/>
    <n v="120"/>
    <x v="0"/>
    <x v="0"/>
    <x v="0"/>
    <n v="26121"/>
    <s v="High"/>
    <s v="Low Risk"/>
  </r>
  <r>
    <x v="288"/>
    <x v="0"/>
    <s v="No"/>
    <x v="0"/>
    <x v="1"/>
    <s v="No"/>
    <n v="9283"/>
    <n v="0"/>
    <n v="452"/>
    <n v="360"/>
    <x v="0"/>
    <x v="1"/>
    <x v="0"/>
    <n v="9283"/>
    <s v="Medium"/>
    <s v="Low Risk"/>
  </r>
  <r>
    <x v="289"/>
    <x v="0"/>
    <s v="Yes"/>
    <x v="0"/>
    <x v="0"/>
    <s v="No"/>
    <n v="4371"/>
    <n v="5325"/>
    <n v="254"/>
    <n v="120"/>
    <x v="0"/>
    <x v="0"/>
    <x v="0"/>
    <n v="9696"/>
    <s v="Medium"/>
    <s v="Low Risk"/>
  </r>
  <r>
    <x v="290"/>
    <x v="1"/>
    <s v="Yes"/>
    <x v="3"/>
    <x v="0"/>
    <s v="No"/>
    <n v="14524"/>
    <n v="8215"/>
    <n v="321"/>
    <n v="120"/>
    <x v="0"/>
    <x v="1"/>
    <x v="0"/>
    <n v="22739"/>
    <s v="High"/>
    <s v="Low Risk"/>
  </r>
  <r>
    <x v="291"/>
    <x v="0"/>
    <s v="No"/>
    <x v="3"/>
    <x v="1"/>
    <s v="Yes"/>
    <n v="16107"/>
    <n v="1231"/>
    <n v="500"/>
    <n v="300"/>
    <x v="0"/>
    <x v="1"/>
    <x v="0"/>
    <n v="17338"/>
    <s v="High"/>
    <s v="Low Risk"/>
  </r>
  <r>
    <x v="292"/>
    <x v="0"/>
    <s v="Yes"/>
    <x v="2"/>
    <x v="0"/>
    <s v="No"/>
    <n v="19242"/>
    <n v="0"/>
    <n v="616"/>
    <n v="120"/>
    <x v="1"/>
    <x v="2"/>
    <x v="0"/>
    <n v="19242"/>
    <s v="High"/>
    <s v="High Risk"/>
  </r>
  <r>
    <x v="293"/>
    <x v="1"/>
    <s v="No"/>
    <x v="1"/>
    <x v="1"/>
    <s v="No"/>
    <n v="4087"/>
    <n v="0"/>
    <n v="564"/>
    <n v="360"/>
    <x v="1"/>
    <x v="2"/>
    <x v="1"/>
    <n v="4087"/>
    <s v="Low"/>
    <s v="High Risk"/>
  </r>
  <r>
    <x v="294"/>
    <x v="0"/>
    <s v="Yes"/>
    <x v="3"/>
    <x v="0"/>
    <s v="Yes"/>
    <n v="8443"/>
    <n v="0"/>
    <n v="179"/>
    <n v="120"/>
    <x v="0"/>
    <x v="2"/>
    <x v="0"/>
    <n v="8443"/>
    <s v="Medium"/>
    <s v="Low Risk"/>
  </r>
  <r>
    <x v="295"/>
    <x v="1"/>
    <s v="Yes"/>
    <x v="1"/>
    <x v="1"/>
    <s v="No"/>
    <n v="3695"/>
    <n v="1925"/>
    <n v="619"/>
    <n v="300"/>
    <x v="0"/>
    <x v="1"/>
    <x v="0"/>
    <n v="5620"/>
    <s v="Medium"/>
    <s v="Low Risk"/>
  </r>
  <r>
    <x v="296"/>
    <x v="1"/>
    <s v="Yes"/>
    <x v="3"/>
    <x v="0"/>
    <s v="No"/>
    <n v="6403"/>
    <n v="0"/>
    <n v="158"/>
    <n v="360"/>
    <x v="0"/>
    <x v="1"/>
    <x v="0"/>
    <n v="6403"/>
    <s v="Medium"/>
    <s v="Low Risk"/>
  </r>
  <r>
    <x v="297"/>
    <x v="1"/>
    <s v="No"/>
    <x v="0"/>
    <x v="1"/>
    <s v="No"/>
    <n v="20244"/>
    <n v="10477"/>
    <n v="88"/>
    <n v="180"/>
    <x v="0"/>
    <x v="0"/>
    <x v="0"/>
    <n v="30721"/>
    <s v="High"/>
    <s v="Low Risk"/>
  </r>
  <r>
    <x v="298"/>
    <x v="1"/>
    <s v="Yes"/>
    <x v="3"/>
    <x v="1"/>
    <s v="Yes"/>
    <n v="3115"/>
    <n v="12718"/>
    <n v="325"/>
    <n v="240"/>
    <x v="0"/>
    <x v="1"/>
    <x v="0"/>
    <n v="15833"/>
    <s v="High"/>
    <s v="Low Risk"/>
  </r>
  <r>
    <x v="299"/>
    <x v="1"/>
    <s v="No"/>
    <x v="3"/>
    <x v="0"/>
    <s v="Yes"/>
    <n v="5903"/>
    <n v="5423"/>
    <n v="378"/>
    <n v="240"/>
    <x v="0"/>
    <x v="2"/>
    <x v="0"/>
    <n v="11326"/>
    <s v="High"/>
    <s v="Low Risk"/>
  </r>
  <r>
    <x v="300"/>
    <x v="0"/>
    <s v="Yes"/>
    <x v="3"/>
    <x v="0"/>
    <s v="No"/>
    <n v="17374"/>
    <n v="12943"/>
    <n v="107"/>
    <n v="360"/>
    <x v="1"/>
    <x v="0"/>
    <x v="0"/>
    <n v="30317"/>
    <s v="High"/>
    <s v="High Risk"/>
  </r>
  <r>
    <x v="301"/>
    <x v="1"/>
    <s v="No"/>
    <x v="1"/>
    <x v="0"/>
    <s v="Yes"/>
    <n v="7816"/>
    <n v="0"/>
    <n v="109"/>
    <n v="180"/>
    <x v="0"/>
    <x v="0"/>
    <x v="0"/>
    <n v="7816"/>
    <s v="Medium"/>
    <s v="Low Risk"/>
  </r>
  <r>
    <x v="302"/>
    <x v="1"/>
    <s v="Yes"/>
    <x v="0"/>
    <x v="1"/>
    <s v="No"/>
    <n v="18051"/>
    <n v="0"/>
    <n v="81"/>
    <n v="180"/>
    <x v="0"/>
    <x v="2"/>
    <x v="0"/>
    <n v="18051"/>
    <s v="High"/>
    <s v="Low Risk"/>
  </r>
  <r>
    <x v="303"/>
    <x v="1"/>
    <s v="Yes"/>
    <x v="3"/>
    <x v="1"/>
    <s v="No"/>
    <n v="6858"/>
    <n v="14224"/>
    <n v="142"/>
    <n v="240"/>
    <x v="0"/>
    <x v="0"/>
    <x v="0"/>
    <n v="21082"/>
    <s v="High"/>
    <s v="Low Risk"/>
  </r>
  <r>
    <x v="304"/>
    <x v="0"/>
    <s v="Yes"/>
    <x v="1"/>
    <x v="0"/>
    <s v="Yes"/>
    <n v="10317"/>
    <n v="11175"/>
    <n v="575"/>
    <n v="120"/>
    <x v="1"/>
    <x v="2"/>
    <x v="0"/>
    <n v="21492"/>
    <s v="High"/>
    <s v="High Risk"/>
  </r>
  <r>
    <x v="305"/>
    <x v="0"/>
    <s v="No"/>
    <x v="1"/>
    <x v="0"/>
    <s v="Yes"/>
    <n v="8832"/>
    <n v="4635"/>
    <n v="331"/>
    <n v="300"/>
    <x v="1"/>
    <x v="1"/>
    <x v="0"/>
    <n v="13467"/>
    <s v="High"/>
    <s v="High Risk"/>
  </r>
  <r>
    <x v="306"/>
    <x v="1"/>
    <s v="No"/>
    <x v="1"/>
    <x v="1"/>
    <s v="No"/>
    <n v="23690"/>
    <n v="9030"/>
    <n v="648"/>
    <n v="120"/>
    <x v="0"/>
    <x v="2"/>
    <x v="0"/>
    <n v="32720"/>
    <s v="High"/>
    <s v="Low Risk"/>
  </r>
  <r>
    <x v="307"/>
    <x v="1"/>
    <s v="No"/>
    <x v="0"/>
    <x v="0"/>
    <s v="No"/>
    <n v="3591"/>
    <n v="6009"/>
    <n v="382"/>
    <n v="240"/>
    <x v="0"/>
    <x v="2"/>
    <x v="0"/>
    <n v="9600"/>
    <s v="Medium"/>
    <s v="Low Risk"/>
  </r>
  <r>
    <x v="308"/>
    <x v="1"/>
    <s v="Yes"/>
    <x v="1"/>
    <x v="0"/>
    <s v="Yes"/>
    <n v="21161"/>
    <n v="7120"/>
    <n v="193"/>
    <n v="120"/>
    <x v="0"/>
    <x v="1"/>
    <x v="0"/>
    <n v="28281"/>
    <s v="High"/>
    <s v="Low Risk"/>
  </r>
  <r>
    <x v="309"/>
    <x v="1"/>
    <s v="No"/>
    <x v="3"/>
    <x v="1"/>
    <s v="Yes"/>
    <n v="20604"/>
    <n v="0"/>
    <n v="401"/>
    <n v="180"/>
    <x v="0"/>
    <x v="2"/>
    <x v="0"/>
    <n v="20604"/>
    <s v="High"/>
    <s v="Low Risk"/>
  </r>
  <r>
    <x v="310"/>
    <x v="1"/>
    <s v="No"/>
    <x v="0"/>
    <x v="0"/>
    <s v="Yes"/>
    <n v="11126"/>
    <n v="2099"/>
    <n v="181"/>
    <n v="240"/>
    <x v="0"/>
    <x v="2"/>
    <x v="0"/>
    <n v="13225"/>
    <s v="High"/>
    <s v="Low Risk"/>
  </r>
  <r>
    <x v="311"/>
    <x v="0"/>
    <s v="No"/>
    <x v="2"/>
    <x v="0"/>
    <s v="No"/>
    <n v="8818"/>
    <n v="12693"/>
    <n v="480"/>
    <n v="240"/>
    <x v="0"/>
    <x v="2"/>
    <x v="0"/>
    <n v="21511"/>
    <s v="High"/>
    <s v="Low Risk"/>
  </r>
  <r>
    <x v="312"/>
    <x v="1"/>
    <s v="No"/>
    <x v="2"/>
    <x v="1"/>
    <s v="Yes"/>
    <n v="22287"/>
    <n v="0"/>
    <n v="533"/>
    <n v="180"/>
    <x v="0"/>
    <x v="2"/>
    <x v="0"/>
    <n v="22287"/>
    <s v="High"/>
    <s v="Low Risk"/>
  </r>
  <r>
    <x v="313"/>
    <x v="1"/>
    <s v="No"/>
    <x v="3"/>
    <x v="0"/>
    <s v="Yes"/>
    <n v="6001"/>
    <n v="3781"/>
    <n v="469"/>
    <n v="360"/>
    <x v="1"/>
    <x v="1"/>
    <x v="0"/>
    <n v="9782"/>
    <s v="Medium"/>
    <s v="High Risk"/>
  </r>
  <r>
    <x v="314"/>
    <x v="0"/>
    <s v="No"/>
    <x v="1"/>
    <x v="0"/>
    <s v="No"/>
    <n v="12399"/>
    <n v="0"/>
    <n v="370"/>
    <n v="120"/>
    <x v="0"/>
    <x v="1"/>
    <x v="0"/>
    <n v="12399"/>
    <s v="High"/>
    <s v="Low Risk"/>
  </r>
  <r>
    <x v="315"/>
    <x v="0"/>
    <s v="Yes"/>
    <x v="1"/>
    <x v="1"/>
    <s v="Yes"/>
    <n v="5740"/>
    <n v="10567"/>
    <n v="698"/>
    <n v="300"/>
    <x v="0"/>
    <x v="1"/>
    <x v="0"/>
    <n v="16307"/>
    <s v="High"/>
    <s v="Low Risk"/>
  </r>
  <r>
    <x v="316"/>
    <x v="1"/>
    <s v="Yes"/>
    <x v="2"/>
    <x v="0"/>
    <s v="No"/>
    <n v="1961"/>
    <n v="0"/>
    <n v="68"/>
    <n v="120"/>
    <x v="0"/>
    <x v="0"/>
    <x v="1"/>
    <n v="1961"/>
    <s v="Low"/>
    <s v="Low Risk"/>
  </r>
  <r>
    <x v="317"/>
    <x v="0"/>
    <s v="No"/>
    <x v="0"/>
    <x v="0"/>
    <s v="Yes"/>
    <n v="14068"/>
    <n v="8746"/>
    <n v="221"/>
    <n v="120"/>
    <x v="1"/>
    <x v="1"/>
    <x v="0"/>
    <n v="22814"/>
    <s v="High"/>
    <s v="High Risk"/>
  </r>
  <r>
    <x v="318"/>
    <x v="1"/>
    <s v="No"/>
    <x v="0"/>
    <x v="1"/>
    <s v="Yes"/>
    <n v="12730"/>
    <n v="8531"/>
    <n v="242"/>
    <n v="180"/>
    <x v="1"/>
    <x v="1"/>
    <x v="0"/>
    <n v="21261"/>
    <s v="High"/>
    <s v="High Risk"/>
  </r>
  <r>
    <x v="319"/>
    <x v="0"/>
    <s v="Yes"/>
    <x v="1"/>
    <x v="0"/>
    <s v="Yes"/>
    <n v="2218"/>
    <n v="0"/>
    <n v="176"/>
    <n v="240"/>
    <x v="0"/>
    <x v="0"/>
    <x v="1"/>
    <n v="2218"/>
    <s v="Low"/>
    <s v="Low Risk"/>
  </r>
  <r>
    <x v="320"/>
    <x v="1"/>
    <s v="No"/>
    <x v="2"/>
    <x v="0"/>
    <s v="Yes"/>
    <n v="22916"/>
    <n v="0"/>
    <n v="99"/>
    <n v="120"/>
    <x v="0"/>
    <x v="1"/>
    <x v="0"/>
    <n v="22916"/>
    <s v="High"/>
    <s v="Low Risk"/>
  </r>
  <r>
    <x v="321"/>
    <x v="0"/>
    <s v="No"/>
    <x v="3"/>
    <x v="0"/>
    <s v="Yes"/>
    <n v="24280"/>
    <n v="0"/>
    <n v="358"/>
    <n v="300"/>
    <x v="0"/>
    <x v="2"/>
    <x v="0"/>
    <n v="24280"/>
    <s v="High"/>
    <s v="Low Risk"/>
  </r>
  <r>
    <x v="322"/>
    <x v="1"/>
    <s v="Yes"/>
    <x v="3"/>
    <x v="0"/>
    <s v="Yes"/>
    <n v="10763"/>
    <n v="0"/>
    <n v="559"/>
    <n v="180"/>
    <x v="0"/>
    <x v="1"/>
    <x v="0"/>
    <n v="10763"/>
    <s v="High"/>
    <s v="Low Risk"/>
  </r>
  <r>
    <x v="323"/>
    <x v="0"/>
    <s v="No"/>
    <x v="3"/>
    <x v="1"/>
    <s v="Yes"/>
    <n v="2791"/>
    <n v="9480"/>
    <n v="262"/>
    <n v="300"/>
    <x v="0"/>
    <x v="0"/>
    <x v="0"/>
    <n v="12271"/>
    <s v="High"/>
    <s v="Low Risk"/>
  </r>
  <r>
    <x v="324"/>
    <x v="0"/>
    <s v="Yes"/>
    <x v="2"/>
    <x v="1"/>
    <s v="Yes"/>
    <n v="4451"/>
    <n v="0"/>
    <n v="153"/>
    <n v="240"/>
    <x v="0"/>
    <x v="1"/>
    <x v="1"/>
    <n v="4451"/>
    <s v="Low"/>
    <s v="Low Risk"/>
  </r>
  <r>
    <x v="325"/>
    <x v="1"/>
    <s v="No"/>
    <x v="3"/>
    <x v="0"/>
    <s v="Yes"/>
    <n v="7224"/>
    <n v="0"/>
    <n v="347"/>
    <n v="240"/>
    <x v="1"/>
    <x v="1"/>
    <x v="1"/>
    <n v="7224"/>
    <s v="Medium"/>
    <s v="High Risk"/>
  </r>
  <r>
    <x v="326"/>
    <x v="1"/>
    <s v="Yes"/>
    <x v="2"/>
    <x v="0"/>
    <s v="Yes"/>
    <n v="6034"/>
    <n v="0"/>
    <n v="386"/>
    <n v="240"/>
    <x v="1"/>
    <x v="2"/>
    <x v="1"/>
    <n v="6034"/>
    <s v="Medium"/>
    <s v="High Risk"/>
  </r>
  <r>
    <x v="327"/>
    <x v="1"/>
    <s v="Yes"/>
    <x v="0"/>
    <x v="1"/>
    <s v="Yes"/>
    <n v="5230"/>
    <n v="7066"/>
    <n v="517"/>
    <n v="240"/>
    <x v="1"/>
    <x v="2"/>
    <x v="0"/>
    <n v="12296"/>
    <s v="High"/>
    <s v="High Risk"/>
  </r>
  <r>
    <x v="328"/>
    <x v="1"/>
    <s v="No"/>
    <x v="1"/>
    <x v="0"/>
    <s v="Yes"/>
    <n v="24312"/>
    <n v="0"/>
    <n v="213"/>
    <n v="120"/>
    <x v="0"/>
    <x v="2"/>
    <x v="0"/>
    <n v="24312"/>
    <s v="High"/>
    <s v="Low Risk"/>
  </r>
  <r>
    <x v="329"/>
    <x v="1"/>
    <s v="No"/>
    <x v="1"/>
    <x v="1"/>
    <s v="No"/>
    <n v="21532"/>
    <n v="0"/>
    <n v="544"/>
    <n v="300"/>
    <x v="0"/>
    <x v="1"/>
    <x v="0"/>
    <n v="21532"/>
    <s v="High"/>
    <s v="Low Risk"/>
  </r>
  <r>
    <x v="330"/>
    <x v="1"/>
    <s v="Yes"/>
    <x v="2"/>
    <x v="1"/>
    <s v="No"/>
    <n v="1905"/>
    <n v="0"/>
    <n v="396"/>
    <n v="360"/>
    <x v="0"/>
    <x v="2"/>
    <x v="1"/>
    <n v="1905"/>
    <s v="Low"/>
    <s v="Low Risk"/>
  </r>
  <r>
    <x v="331"/>
    <x v="0"/>
    <s v="No"/>
    <x v="1"/>
    <x v="1"/>
    <s v="No"/>
    <n v="23248"/>
    <n v="11580"/>
    <n v="202"/>
    <n v="360"/>
    <x v="1"/>
    <x v="2"/>
    <x v="0"/>
    <n v="34828"/>
    <s v="High"/>
    <s v="High Risk"/>
  </r>
  <r>
    <x v="332"/>
    <x v="0"/>
    <s v="Yes"/>
    <x v="1"/>
    <x v="1"/>
    <s v="No"/>
    <n v="6919"/>
    <n v="1726"/>
    <n v="378"/>
    <n v="180"/>
    <x v="0"/>
    <x v="1"/>
    <x v="0"/>
    <n v="8645"/>
    <s v="Medium"/>
    <s v="Low Risk"/>
  </r>
  <r>
    <x v="333"/>
    <x v="0"/>
    <s v="Yes"/>
    <x v="3"/>
    <x v="1"/>
    <s v="Yes"/>
    <n v="4083"/>
    <n v="8021"/>
    <n v="636"/>
    <n v="300"/>
    <x v="0"/>
    <x v="1"/>
    <x v="0"/>
    <n v="12104"/>
    <s v="High"/>
    <s v="Low Risk"/>
  </r>
  <r>
    <x v="334"/>
    <x v="1"/>
    <s v="No"/>
    <x v="2"/>
    <x v="1"/>
    <s v="Yes"/>
    <n v="4863"/>
    <n v="7109"/>
    <n v="86"/>
    <n v="360"/>
    <x v="0"/>
    <x v="0"/>
    <x v="0"/>
    <n v="11972"/>
    <s v="High"/>
    <s v="Low Risk"/>
  </r>
  <r>
    <x v="335"/>
    <x v="1"/>
    <s v="Yes"/>
    <x v="3"/>
    <x v="1"/>
    <s v="No"/>
    <n v="3278"/>
    <n v="0"/>
    <n v="515"/>
    <n v="240"/>
    <x v="0"/>
    <x v="2"/>
    <x v="1"/>
    <n v="3278"/>
    <s v="Low"/>
    <s v="Low Risk"/>
  </r>
  <r>
    <x v="336"/>
    <x v="1"/>
    <s v="No"/>
    <x v="3"/>
    <x v="0"/>
    <s v="Yes"/>
    <n v="23091"/>
    <n v="0"/>
    <n v="399"/>
    <n v="240"/>
    <x v="1"/>
    <x v="1"/>
    <x v="0"/>
    <n v="23091"/>
    <s v="High"/>
    <s v="High Risk"/>
  </r>
  <r>
    <x v="337"/>
    <x v="1"/>
    <s v="Yes"/>
    <x v="2"/>
    <x v="0"/>
    <s v="No"/>
    <n v="6102"/>
    <n v="13965"/>
    <n v="159"/>
    <n v="240"/>
    <x v="0"/>
    <x v="0"/>
    <x v="0"/>
    <n v="20067"/>
    <s v="High"/>
    <s v="Low Risk"/>
  </r>
  <r>
    <x v="338"/>
    <x v="0"/>
    <s v="No"/>
    <x v="1"/>
    <x v="1"/>
    <s v="Yes"/>
    <n v="24987"/>
    <n v="0"/>
    <n v="474"/>
    <n v="120"/>
    <x v="1"/>
    <x v="2"/>
    <x v="0"/>
    <n v="24987"/>
    <s v="High"/>
    <s v="High Risk"/>
  </r>
  <r>
    <x v="339"/>
    <x v="0"/>
    <s v="No"/>
    <x v="3"/>
    <x v="0"/>
    <s v="No"/>
    <n v="1642"/>
    <n v="0"/>
    <n v="616"/>
    <n v="300"/>
    <x v="1"/>
    <x v="1"/>
    <x v="1"/>
    <n v="1642"/>
    <s v="Low"/>
    <s v="High Risk"/>
  </r>
  <r>
    <x v="340"/>
    <x v="0"/>
    <s v="Yes"/>
    <x v="1"/>
    <x v="0"/>
    <s v="No"/>
    <n v="23045"/>
    <n v="10339"/>
    <n v="566"/>
    <n v="300"/>
    <x v="0"/>
    <x v="2"/>
    <x v="0"/>
    <n v="33384"/>
    <s v="High"/>
    <s v="Low Risk"/>
  </r>
  <r>
    <x v="341"/>
    <x v="0"/>
    <s v="No"/>
    <x v="3"/>
    <x v="1"/>
    <s v="No"/>
    <n v="16338"/>
    <n v="0"/>
    <n v="191"/>
    <n v="300"/>
    <x v="0"/>
    <x v="2"/>
    <x v="0"/>
    <n v="16338"/>
    <s v="High"/>
    <s v="Low Risk"/>
  </r>
  <r>
    <x v="342"/>
    <x v="1"/>
    <s v="No"/>
    <x v="1"/>
    <x v="0"/>
    <s v="Yes"/>
    <n v="21952"/>
    <n v="12204"/>
    <n v="403"/>
    <n v="180"/>
    <x v="1"/>
    <x v="2"/>
    <x v="0"/>
    <n v="34156"/>
    <s v="High"/>
    <s v="High Risk"/>
  </r>
  <r>
    <x v="343"/>
    <x v="0"/>
    <s v="No"/>
    <x v="2"/>
    <x v="1"/>
    <s v="No"/>
    <n v="20597"/>
    <n v="9849"/>
    <n v="596"/>
    <n v="240"/>
    <x v="1"/>
    <x v="1"/>
    <x v="0"/>
    <n v="30446"/>
    <s v="High"/>
    <s v="High Risk"/>
  </r>
  <r>
    <x v="344"/>
    <x v="0"/>
    <s v="Yes"/>
    <x v="2"/>
    <x v="1"/>
    <s v="Yes"/>
    <n v="3238"/>
    <n v="0"/>
    <n v="254"/>
    <n v="240"/>
    <x v="0"/>
    <x v="0"/>
    <x v="1"/>
    <n v="3238"/>
    <s v="Low"/>
    <s v="Low Risk"/>
  </r>
  <r>
    <x v="345"/>
    <x v="1"/>
    <s v="No"/>
    <x v="1"/>
    <x v="0"/>
    <s v="No"/>
    <n v="8184"/>
    <n v="0"/>
    <n v="417"/>
    <n v="300"/>
    <x v="0"/>
    <x v="2"/>
    <x v="0"/>
    <n v="8184"/>
    <s v="Medium"/>
    <s v="Low Risk"/>
  </r>
  <r>
    <x v="346"/>
    <x v="0"/>
    <s v="No"/>
    <x v="1"/>
    <x v="1"/>
    <s v="Yes"/>
    <n v="14003"/>
    <n v="6849"/>
    <n v="370"/>
    <n v="360"/>
    <x v="0"/>
    <x v="2"/>
    <x v="0"/>
    <n v="20852"/>
    <s v="High"/>
    <s v="Low Risk"/>
  </r>
  <r>
    <x v="347"/>
    <x v="1"/>
    <s v="Yes"/>
    <x v="3"/>
    <x v="0"/>
    <s v="No"/>
    <n v="20780"/>
    <n v="0"/>
    <n v="248"/>
    <n v="240"/>
    <x v="0"/>
    <x v="2"/>
    <x v="0"/>
    <n v="20780"/>
    <s v="High"/>
    <s v="Low Risk"/>
  </r>
  <r>
    <x v="348"/>
    <x v="0"/>
    <s v="Yes"/>
    <x v="1"/>
    <x v="0"/>
    <s v="No"/>
    <n v="2831"/>
    <n v="7520"/>
    <n v="619"/>
    <n v="240"/>
    <x v="0"/>
    <x v="2"/>
    <x v="0"/>
    <n v="10351"/>
    <s v="High"/>
    <s v="Low Risk"/>
  </r>
  <r>
    <x v="349"/>
    <x v="1"/>
    <s v="Yes"/>
    <x v="0"/>
    <x v="1"/>
    <s v="Yes"/>
    <n v="2808"/>
    <n v="3018"/>
    <n v="661"/>
    <n v="120"/>
    <x v="0"/>
    <x v="2"/>
    <x v="0"/>
    <n v="5826"/>
    <s v="Medium"/>
    <s v="Low Risk"/>
  </r>
  <r>
    <x v="350"/>
    <x v="1"/>
    <s v="No"/>
    <x v="0"/>
    <x v="0"/>
    <s v="No"/>
    <n v="18716"/>
    <n v="0"/>
    <n v="583"/>
    <n v="120"/>
    <x v="1"/>
    <x v="0"/>
    <x v="0"/>
    <n v="18716"/>
    <s v="High"/>
    <s v="High Risk"/>
  </r>
  <r>
    <x v="351"/>
    <x v="1"/>
    <s v="No"/>
    <x v="2"/>
    <x v="1"/>
    <s v="Yes"/>
    <n v="8491"/>
    <n v="11368"/>
    <n v="389"/>
    <n v="240"/>
    <x v="0"/>
    <x v="2"/>
    <x v="0"/>
    <n v="19859"/>
    <s v="High"/>
    <s v="Low Risk"/>
  </r>
  <r>
    <x v="352"/>
    <x v="1"/>
    <s v="Yes"/>
    <x v="2"/>
    <x v="1"/>
    <s v="No"/>
    <n v="9375"/>
    <n v="0"/>
    <n v="90"/>
    <n v="240"/>
    <x v="0"/>
    <x v="0"/>
    <x v="0"/>
    <n v="9375"/>
    <s v="Medium"/>
    <s v="Low Risk"/>
  </r>
  <r>
    <x v="353"/>
    <x v="1"/>
    <s v="No"/>
    <x v="0"/>
    <x v="0"/>
    <s v="No"/>
    <n v="18352"/>
    <n v="13653"/>
    <n v="548"/>
    <n v="120"/>
    <x v="0"/>
    <x v="2"/>
    <x v="0"/>
    <n v="32005"/>
    <s v="High"/>
    <s v="Low Risk"/>
  </r>
  <r>
    <x v="354"/>
    <x v="0"/>
    <s v="No"/>
    <x v="2"/>
    <x v="0"/>
    <s v="Yes"/>
    <n v="19128"/>
    <n v="0"/>
    <n v="691"/>
    <n v="120"/>
    <x v="0"/>
    <x v="2"/>
    <x v="0"/>
    <n v="19128"/>
    <s v="High"/>
    <s v="Low Risk"/>
  </r>
  <r>
    <x v="355"/>
    <x v="0"/>
    <s v="No"/>
    <x v="2"/>
    <x v="0"/>
    <s v="No"/>
    <n v="22686"/>
    <n v="0"/>
    <n v="207"/>
    <n v="120"/>
    <x v="0"/>
    <x v="1"/>
    <x v="0"/>
    <n v="22686"/>
    <s v="High"/>
    <s v="Low Risk"/>
  </r>
  <r>
    <x v="356"/>
    <x v="0"/>
    <s v="Yes"/>
    <x v="2"/>
    <x v="0"/>
    <s v="Yes"/>
    <n v="9754"/>
    <n v="0"/>
    <n v="638"/>
    <n v="180"/>
    <x v="1"/>
    <x v="1"/>
    <x v="0"/>
    <n v="9754"/>
    <s v="Medium"/>
    <s v="High Risk"/>
  </r>
  <r>
    <x v="357"/>
    <x v="1"/>
    <s v="No"/>
    <x v="3"/>
    <x v="1"/>
    <s v="No"/>
    <n v="2053"/>
    <n v="0"/>
    <n v="597"/>
    <n v="120"/>
    <x v="0"/>
    <x v="2"/>
    <x v="1"/>
    <n v="2053"/>
    <s v="Low"/>
    <s v="Low Risk"/>
  </r>
  <r>
    <x v="358"/>
    <x v="0"/>
    <s v="Yes"/>
    <x v="2"/>
    <x v="1"/>
    <s v="Yes"/>
    <n v="10997"/>
    <n v="13392"/>
    <n v="671"/>
    <n v="120"/>
    <x v="0"/>
    <x v="1"/>
    <x v="0"/>
    <n v="24389"/>
    <s v="High"/>
    <s v="Low Risk"/>
  </r>
  <r>
    <x v="359"/>
    <x v="1"/>
    <s v="No"/>
    <x v="2"/>
    <x v="1"/>
    <s v="Yes"/>
    <n v="18980"/>
    <n v="0"/>
    <n v="450"/>
    <n v="360"/>
    <x v="0"/>
    <x v="2"/>
    <x v="0"/>
    <n v="18980"/>
    <s v="High"/>
    <s v="Low Risk"/>
  </r>
  <r>
    <x v="360"/>
    <x v="0"/>
    <s v="No"/>
    <x v="0"/>
    <x v="0"/>
    <s v="Yes"/>
    <n v="5538"/>
    <n v="0"/>
    <n v="636"/>
    <n v="360"/>
    <x v="0"/>
    <x v="2"/>
    <x v="0"/>
    <n v="5538"/>
    <s v="Medium"/>
    <s v="Low Risk"/>
  </r>
  <r>
    <x v="361"/>
    <x v="0"/>
    <s v="No"/>
    <x v="1"/>
    <x v="1"/>
    <s v="Yes"/>
    <n v="15021"/>
    <n v="0"/>
    <n v="214"/>
    <n v="180"/>
    <x v="0"/>
    <x v="1"/>
    <x v="0"/>
    <n v="15021"/>
    <s v="High"/>
    <s v="Low Risk"/>
  </r>
  <r>
    <x v="362"/>
    <x v="0"/>
    <s v="Yes"/>
    <x v="1"/>
    <x v="0"/>
    <s v="No"/>
    <n v="22624"/>
    <n v="0"/>
    <n v="347"/>
    <n v="120"/>
    <x v="0"/>
    <x v="0"/>
    <x v="0"/>
    <n v="22624"/>
    <s v="High"/>
    <s v="Low Risk"/>
  </r>
  <r>
    <x v="363"/>
    <x v="1"/>
    <s v="No"/>
    <x v="0"/>
    <x v="0"/>
    <s v="Yes"/>
    <n v="4778"/>
    <n v="0"/>
    <n v="248"/>
    <n v="240"/>
    <x v="0"/>
    <x v="1"/>
    <x v="0"/>
    <n v="4778"/>
    <s v="Low"/>
    <s v="Low Risk"/>
  </r>
  <r>
    <x v="364"/>
    <x v="1"/>
    <s v="Yes"/>
    <x v="0"/>
    <x v="1"/>
    <s v="No"/>
    <n v="7025"/>
    <n v="579"/>
    <n v="302"/>
    <n v="180"/>
    <x v="0"/>
    <x v="2"/>
    <x v="0"/>
    <n v="7604"/>
    <s v="Medium"/>
    <s v="Low Risk"/>
  </r>
  <r>
    <x v="365"/>
    <x v="1"/>
    <s v="No"/>
    <x v="0"/>
    <x v="0"/>
    <s v="No"/>
    <n v="17227"/>
    <n v="8083"/>
    <n v="417"/>
    <n v="240"/>
    <x v="0"/>
    <x v="0"/>
    <x v="0"/>
    <n v="25310"/>
    <s v="High"/>
    <s v="Low Risk"/>
  </r>
  <r>
    <x v="366"/>
    <x v="0"/>
    <s v="Yes"/>
    <x v="0"/>
    <x v="0"/>
    <s v="Yes"/>
    <n v="10125"/>
    <n v="0"/>
    <n v="127"/>
    <n v="120"/>
    <x v="1"/>
    <x v="2"/>
    <x v="0"/>
    <n v="10125"/>
    <s v="High"/>
    <s v="High Risk"/>
  </r>
  <r>
    <x v="367"/>
    <x v="0"/>
    <s v="No"/>
    <x v="1"/>
    <x v="0"/>
    <s v="No"/>
    <n v="19308"/>
    <n v="9342"/>
    <n v="202"/>
    <n v="240"/>
    <x v="0"/>
    <x v="2"/>
    <x v="0"/>
    <n v="28650"/>
    <s v="High"/>
    <s v="Low Risk"/>
  </r>
  <r>
    <x v="368"/>
    <x v="1"/>
    <s v="Yes"/>
    <x v="3"/>
    <x v="0"/>
    <s v="No"/>
    <n v="13423"/>
    <n v="0"/>
    <n v="294"/>
    <n v="360"/>
    <x v="0"/>
    <x v="2"/>
    <x v="0"/>
    <n v="13423"/>
    <s v="High"/>
    <s v="Low Risk"/>
  </r>
  <r>
    <x v="369"/>
    <x v="0"/>
    <s v="No"/>
    <x v="1"/>
    <x v="0"/>
    <s v="Yes"/>
    <n v="17343"/>
    <n v="0"/>
    <n v="274"/>
    <n v="300"/>
    <x v="0"/>
    <x v="1"/>
    <x v="0"/>
    <n v="17343"/>
    <s v="High"/>
    <s v="Low Risk"/>
  </r>
  <r>
    <x v="370"/>
    <x v="1"/>
    <s v="Yes"/>
    <x v="2"/>
    <x v="0"/>
    <s v="No"/>
    <n v="14217"/>
    <n v="8195"/>
    <n v="97"/>
    <n v="120"/>
    <x v="1"/>
    <x v="1"/>
    <x v="0"/>
    <n v="22412"/>
    <s v="High"/>
    <s v="High Risk"/>
  </r>
  <r>
    <x v="371"/>
    <x v="0"/>
    <s v="No"/>
    <x v="0"/>
    <x v="0"/>
    <s v="No"/>
    <n v="22919"/>
    <n v="6701"/>
    <n v="651"/>
    <n v="120"/>
    <x v="0"/>
    <x v="1"/>
    <x v="0"/>
    <n v="29620"/>
    <s v="High"/>
    <s v="Low Risk"/>
  </r>
  <r>
    <x v="372"/>
    <x v="0"/>
    <s v="No"/>
    <x v="0"/>
    <x v="1"/>
    <s v="No"/>
    <n v="17297"/>
    <n v="0"/>
    <n v="563"/>
    <n v="180"/>
    <x v="0"/>
    <x v="0"/>
    <x v="0"/>
    <n v="17297"/>
    <s v="High"/>
    <s v="Low Risk"/>
  </r>
  <r>
    <x v="373"/>
    <x v="0"/>
    <s v="No"/>
    <x v="1"/>
    <x v="0"/>
    <s v="Yes"/>
    <n v="6656"/>
    <n v="0"/>
    <n v="285"/>
    <n v="300"/>
    <x v="1"/>
    <x v="2"/>
    <x v="1"/>
    <n v="6656"/>
    <s v="Medium"/>
    <s v="High Risk"/>
  </r>
  <r>
    <x v="374"/>
    <x v="0"/>
    <s v="No"/>
    <x v="3"/>
    <x v="1"/>
    <s v="Yes"/>
    <n v="20859"/>
    <n v="3141"/>
    <n v="72"/>
    <n v="180"/>
    <x v="0"/>
    <x v="2"/>
    <x v="0"/>
    <n v="24000"/>
    <s v="High"/>
    <s v="Low Risk"/>
  </r>
  <r>
    <x v="375"/>
    <x v="0"/>
    <s v="Yes"/>
    <x v="2"/>
    <x v="0"/>
    <s v="Yes"/>
    <n v="6950"/>
    <n v="0"/>
    <n v="579"/>
    <n v="300"/>
    <x v="0"/>
    <x v="2"/>
    <x v="0"/>
    <n v="6950"/>
    <s v="Medium"/>
    <s v="Low Risk"/>
  </r>
  <r>
    <x v="376"/>
    <x v="0"/>
    <s v="No"/>
    <x v="2"/>
    <x v="0"/>
    <s v="No"/>
    <n v="21374"/>
    <n v="8223"/>
    <n v="224"/>
    <n v="180"/>
    <x v="1"/>
    <x v="2"/>
    <x v="0"/>
    <n v="29597"/>
    <s v="High"/>
    <s v="High Risk"/>
  </r>
  <r>
    <x v="377"/>
    <x v="0"/>
    <s v="Yes"/>
    <x v="0"/>
    <x v="0"/>
    <s v="No"/>
    <n v="16359"/>
    <n v="0"/>
    <n v="285"/>
    <n v="300"/>
    <x v="0"/>
    <x v="0"/>
    <x v="0"/>
    <n v="16359"/>
    <s v="High"/>
    <s v="Low Risk"/>
  </r>
  <r>
    <x v="378"/>
    <x v="0"/>
    <s v="Yes"/>
    <x v="3"/>
    <x v="0"/>
    <s v="Yes"/>
    <n v="7313"/>
    <n v="0"/>
    <n v="594"/>
    <n v="360"/>
    <x v="0"/>
    <x v="0"/>
    <x v="0"/>
    <n v="7313"/>
    <s v="Medium"/>
    <s v="Low Risk"/>
  </r>
  <r>
    <x v="379"/>
    <x v="1"/>
    <s v="Yes"/>
    <x v="2"/>
    <x v="1"/>
    <s v="No"/>
    <n v="13636"/>
    <n v="0"/>
    <n v="592"/>
    <n v="300"/>
    <x v="0"/>
    <x v="1"/>
    <x v="0"/>
    <n v="13636"/>
    <s v="High"/>
    <s v="Low Risk"/>
  </r>
  <r>
    <x v="380"/>
    <x v="1"/>
    <s v="No"/>
    <x v="2"/>
    <x v="1"/>
    <s v="Yes"/>
    <n v="9840"/>
    <n v="0"/>
    <n v="135"/>
    <n v="240"/>
    <x v="0"/>
    <x v="2"/>
    <x v="0"/>
    <n v="9840"/>
    <s v="Medium"/>
    <s v="Low Risk"/>
  </r>
  <r>
    <x v="381"/>
    <x v="1"/>
    <s v="No"/>
    <x v="1"/>
    <x v="0"/>
    <s v="Yes"/>
    <n v="20439"/>
    <n v="0"/>
    <n v="582"/>
    <n v="120"/>
    <x v="0"/>
    <x v="0"/>
    <x v="0"/>
    <n v="20439"/>
    <s v="High"/>
    <s v="Low Risk"/>
  </r>
  <r>
    <x v="382"/>
    <x v="1"/>
    <s v="No"/>
    <x v="0"/>
    <x v="0"/>
    <s v="Yes"/>
    <n v="15461"/>
    <n v="11175"/>
    <n v="317"/>
    <n v="360"/>
    <x v="0"/>
    <x v="1"/>
    <x v="0"/>
    <n v="26636"/>
    <s v="High"/>
    <s v="Low Risk"/>
  </r>
  <r>
    <x v="383"/>
    <x v="1"/>
    <s v="No"/>
    <x v="1"/>
    <x v="1"/>
    <s v="No"/>
    <n v="7356"/>
    <n v="6565"/>
    <n v="309"/>
    <n v="240"/>
    <x v="0"/>
    <x v="2"/>
    <x v="0"/>
    <n v="13921"/>
    <s v="High"/>
    <s v="Low Risk"/>
  </r>
  <r>
    <x v="384"/>
    <x v="1"/>
    <s v="Yes"/>
    <x v="2"/>
    <x v="0"/>
    <s v="No"/>
    <n v="24415"/>
    <n v="0"/>
    <n v="269"/>
    <n v="360"/>
    <x v="0"/>
    <x v="1"/>
    <x v="0"/>
    <n v="24415"/>
    <s v="High"/>
    <s v="Low Risk"/>
  </r>
  <r>
    <x v="385"/>
    <x v="0"/>
    <s v="Yes"/>
    <x v="3"/>
    <x v="0"/>
    <s v="Yes"/>
    <n v="6262"/>
    <n v="8227"/>
    <n v="140"/>
    <n v="120"/>
    <x v="0"/>
    <x v="1"/>
    <x v="0"/>
    <n v="14489"/>
    <s v="High"/>
    <s v="Low Risk"/>
  </r>
  <r>
    <x v="386"/>
    <x v="0"/>
    <s v="Yes"/>
    <x v="3"/>
    <x v="1"/>
    <s v="No"/>
    <n v="24817"/>
    <n v="0"/>
    <n v="229"/>
    <n v="300"/>
    <x v="0"/>
    <x v="0"/>
    <x v="0"/>
    <n v="24817"/>
    <s v="High"/>
    <s v="Low Risk"/>
  </r>
  <r>
    <x v="387"/>
    <x v="1"/>
    <s v="Yes"/>
    <x v="2"/>
    <x v="0"/>
    <s v="Yes"/>
    <n v="23586"/>
    <n v="1090"/>
    <n v="294"/>
    <n v="120"/>
    <x v="1"/>
    <x v="0"/>
    <x v="0"/>
    <n v="24676"/>
    <s v="High"/>
    <s v="High Risk"/>
  </r>
  <r>
    <x v="388"/>
    <x v="1"/>
    <s v="No"/>
    <x v="0"/>
    <x v="1"/>
    <s v="No"/>
    <n v="20704"/>
    <n v="0"/>
    <n v="120"/>
    <n v="120"/>
    <x v="0"/>
    <x v="2"/>
    <x v="0"/>
    <n v="20704"/>
    <s v="High"/>
    <s v="Low Risk"/>
  </r>
  <r>
    <x v="389"/>
    <x v="1"/>
    <s v="No"/>
    <x v="0"/>
    <x v="0"/>
    <s v="Yes"/>
    <n v="16401"/>
    <n v="0"/>
    <n v="317"/>
    <n v="180"/>
    <x v="0"/>
    <x v="0"/>
    <x v="0"/>
    <n v="16401"/>
    <s v="High"/>
    <s v="Low Risk"/>
  </r>
  <r>
    <x v="390"/>
    <x v="0"/>
    <s v="No"/>
    <x v="0"/>
    <x v="0"/>
    <s v="No"/>
    <n v="19126"/>
    <n v="13822"/>
    <n v="503"/>
    <n v="300"/>
    <x v="0"/>
    <x v="0"/>
    <x v="0"/>
    <n v="32948"/>
    <s v="High"/>
    <s v="Low Risk"/>
  </r>
  <r>
    <x v="391"/>
    <x v="1"/>
    <s v="No"/>
    <x v="3"/>
    <x v="0"/>
    <s v="No"/>
    <n v="5309"/>
    <n v="0"/>
    <n v="441"/>
    <n v="180"/>
    <x v="0"/>
    <x v="0"/>
    <x v="0"/>
    <n v="5309"/>
    <s v="Medium"/>
    <s v="Low Risk"/>
  </r>
  <r>
    <x v="392"/>
    <x v="1"/>
    <s v="No"/>
    <x v="0"/>
    <x v="0"/>
    <s v="No"/>
    <n v="9634"/>
    <n v="0"/>
    <n v="458"/>
    <n v="240"/>
    <x v="0"/>
    <x v="0"/>
    <x v="0"/>
    <n v="9634"/>
    <s v="Medium"/>
    <s v="Low Risk"/>
  </r>
  <r>
    <x v="393"/>
    <x v="1"/>
    <s v="No"/>
    <x v="0"/>
    <x v="0"/>
    <s v="No"/>
    <n v="7489"/>
    <n v="0"/>
    <n v="560"/>
    <n v="180"/>
    <x v="0"/>
    <x v="0"/>
    <x v="0"/>
    <n v="7489"/>
    <s v="Medium"/>
    <s v="Low Risk"/>
  </r>
  <r>
    <x v="394"/>
    <x v="1"/>
    <s v="Yes"/>
    <x v="1"/>
    <x v="0"/>
    <s v="Yes"/>
    <n v="21770"/>
    <n v="0"/>
    <n v="159"/>
    <n v="120"/>
    <x v="1"/>
    <x v="2"/>
    <x v="0"/>
    <n v="21770"/>
    <s v="High"/>
    <s v="High Risk"/>
  </r>
  <r>
    <x v="395"/>
    <x v="1"/>
    <s v="Yes"/>
    <x v="2"/>
    <x v="1"/>
    <s v="No"/>
    <n v="21838"/>
    <n v="5667"/>
    <n v="638"/>
    <n v="240"/>
    <x v="0"/>
    <x v="2"/>
    <x v="0"/>
    <n v="27505"/>
    <s v="High"/>
    <s v="Low Risk"/>
  </r>
  <r>
    <x v="396"/>
    <x v="1"/>
    <s v="No"/>
    <x v="1"/>
    <x v="0"/>
    <s v="Yes"/>
    <n v="18727"/>
    <n v="13595"/>
    <n v="539"/>
    <n v="360"/>
    <x v="0"/>
    <x v="1"/>
    <x v="0"/>
    <n v="32322"/>
    <s v="High"/>
    <s v="Low Risk"/>
  </r>
  <r>
    <x v="397"/>
    <x v="1"/>
    <s v="Yes"/>
    <x v="3"/>
    <x v="0"/>
    <s v="No"/>
    <n v="11843"/>
    <n v="0"/>
    <n v="62"/>
    <n v="180"/>
    <x v="0"/>
    <x v="0"/>
    <x v="0"/>
    <n v="11843"/>
    <s v="High"/>
    <s v="Low Risk"/>
  </r>
  <r>
    <x v="398"/>
    <x v="1"/>
    <s v="No"/>
    <x v="0"/>
    <x v="0"/>
    <s v="No"/>
    <n v="9270"/>
    <n v="4913"/>
    <n v="677"/>
    <n v="240"/>
    <x v="0"/>
    <x v="1"/>
    <x v="0"/>
    <n v="14183"/>
    <s v="High"/>
    <s v="Low Risk"/>
  </r>
  <r>
    <x v="399"/>
    <x v="1"/>
    <s v="Yes"/>
    <x v="3"/>
    <x v="1"/>
    <s v="No"/>
    <n v="14626"/>
    <n v="5081"/>
    <n v="234"/>
    <n v="360"/>
    <x v="0"/>
    <x v="2"/>
    <x v="0"/>
    <n v="19707"/>
    <s v="High"/>
    <s v="Low Risk"/>
  </r>
  <r>
    <x v="400"/>
    <x v="0"/>
    <s v="Yes"/>
    <x v="0"/>
    <x v="0"/>
    <s v="No"/>
    <n v="13980"/>
    <n v="0"/>
    <n v="203"/>
    <n v="300"/>
    <x v="1"/>
    <x v="0"/>
    <x v="0"/>
    <n v="13980"/>
    <s v="High"/>
    <s v="High Risk"/>
  </r>
  <r>
    <x v="401"/>
    <x v="1"/>
    <s v="No"/>
    <x v="1"/>
    <x v="1"/>
    <s v="No"/>
    <n v="11331"/>
    <n v="0"/>
    <n v="457"/>
    <n v="120"/>
    <x v="0"/>
    <x v="0"/>
    <x v="0"/>
    <n v="11331"/>
    <s v="High"/>
    <s v="Low Risk"/>
  </r>
  <r>
    <x v="402"/>
    <x v="0"/>
    <s v="No"/>
    <x v="3"/>
    <x v="0"/>
    <s v="No"/>
    <n v="12466"/>
    <n v="4756"/>
    <n v="418"/>
    <n v="360"/>
    <x v="0"/>
    <x v="1"/>
    <x v="0"/>
    <n v="17222"/>
    <s v="High"/>
    <s v="Low Risk"/>
  </r>
  <r>
    <x v="403"/>
    <x v="1"/>
    <s v="Yes"/>
    <x v="3"/>
    <x v="0"/>
    <s v="No"/>
    <n v="23768"/>
    <n v="0"/>
    <n v="640"/>
    <n v="360"/>
    <x v="0"/>
    <x v="2"/>
    <x v="0"/>
    <n v="23768"/>
    <s v="High"/>
    <s v="Low Risk"/>
  </r>
  <r>
    <x v="404"/>
    <x v="0"/>
    <s v="No"/>
    <x v="0"/>
    <x v="1"/>
    <s v="No"/>
    <n v="16145"/>
    <n v="1784"/>
    <n v="678"/>
    <n v="240"/>
    <x v="0"/>
    <x v="0"/>
    <x v="0"/>
    <n v="17929"/>
    <s v="High"/>
    <s v="Low Risk"/>
  </r>
  <r>
    <x v="405"/>
    <x v="0"/>
    <s v="No"/>
    <x v="3"/>
    <x v="1"/>
    <s v="Yes"/>
    <n v="4092"/>
    <n v="3154"/>
    <n v="283"/>
    <n v="240"/>
    <x v="0"/>
    <x v="1"/>
    <x v="0"/>
    <n v="7246"/>
    <s v="Medium"/>
    <s v="Low Risk"/>
  </r>
  <r>
    <x v="406"/>
    <x v="1"/>
    <s v="No"/>
    <x v="0"/>
    <x v="1"/>
    <s v="No"/>
    <n v="20732"/>
    <n v="9035"/>
    <n v="473"/>
    <n v="180"/>
    <x v="0"/>
    <x v="0"/>
    <x v="0"/>
    <n v="29767"/>
    <s v="High"/>
    <s v="Low Risk"/>
  </r>
  <r>
    <x v="407"/>
    <x v="0"/>
    <s v="Yes"/>
    <x v="0"/>
    <x v="0"/>
    <s v="Yes"/>
    <n v="6969"/>
    <n v="0"/>
    <n v="147"/>
    <n v="120"/>
    <x v="1"/>
    <x v="1"/>
    <x v="1"/>
    <n v="6969"/>
    <s v="Medium"/>
    <s v="High Risk"/>
  </r>
  <r>
    <x v="408"/>
    <x v="0"/>
    <s v="Yes"/>
    <x v="3"/>
    <x v="0"/>
    <s v="Yes"/>
    <n v="10100"/>
    <n v="0"/>
    <n v="136"/>
    <n v="300"/>
    <x v="0"/>
    <x v="0"/>
    <x v="0"/>
    <n v="10100"/>
    <s v="High"/>
    <s v="Low Risk"/>
  </r>
  <r>
    <x v="409"/>
    <x v="1"/>
    <s v="No"/>
    <x v="1"/>
    <x v="0"/>
    <s v="Yes"/>
    <n v="2436"/>
    <n v="1075"/>
    <n v="383"/>
    <n v="300"/>
    <x v="0"/>
    <x v="2"/>
    <x v="1"/>
    <n v="3511"/>
    <s v="Low"/>
    <s v="Low Risk"/>
  </r>
  <r>
    <x v="410"/>
    <x v="1"/>
    <s v="No"/>
    <x v="1"/>
    <x v="0"/>
    <s v="No"/>
    <n v="22178"/>
    <n v="12770"/>
    <n v="586"/>
    <n v="360"/>
    <x v="0"/>
    <x v="1"/>
    <x v="0"/>
    <n v="34948"/>
    <s v="High"/>
    <s v="Low Risk"/>
  </r>
  <r>
    <x v="411"/>
    <x v="1"/>
    <s v="Yes"/>
    <x v="2"/>
    <x v="1"/>
    <s v="No"/>
    <n v="13485"/>
    <n v="7253"/>
    <n v="209"/>
    <n v="240"/>
    <x v="0"/>
    <x v="2"/>
    <x v="0"/>
    <n v="20738"/>
    <s v="High"/>
    <s v="Low Risk"/>
  </r>
  <r>
    <x v="412"/>
    <x v="0"/>
    <s v="No"/>
    <x v="0"/>
    <x v="1"/>
    <s v="Yes"/>
    <n v="24036"/>
    <n v="8559"/>
    <n v="356"/>
    <n v="120"/>
    <x v="0"/>
    <x v="1"/>
    <x v="0"/>
    <n v="32595"/>
    <s v="High"/>
    <s v="Low Risk"/>
  </r>
  <r>
    <x v="413"/>
    <x v="0"/>
    <s v="Yes"/>
    <x v="0"/>
    <x v="0"/>
    <s v="No"/>
    <n v="19868"/>
    <n v="7661"/>
    <n v="305"/>
    <n v="180"/>
    <x v="0"/>
    <x v="2"/>
    <x v="0"/>
    <n v="27529"/>
    <s v="High"/>
    <s v="Low Risk"/>
  </r>
  <r>
    <x v="414"/>
    <x v="1"/>
    <s v="No"/>
    <x v="1"/>
    <x v="1"/>
    <s v="Yes"/>
    <n v="15335"/>
    <n v="0"/>
    <n v="579"/>
    <n v="360"/>
    <x v="1"/>
    <x v="2"/>
    <x v="0"/>
    <n v="15335"/>
    <s v="High"/>
    <s v="High Risk"/>
  </r>
  <r>
    <x v="415"/>
    <x v="1"/>
    <s v="No"/>
    <x v="0"/>
    <x v="1"/>
    <s v="Yes"/>
    <n v="3743"/>
    <n v="0"/>
    <n v="346"/>
    <n v="120"/>
    <x v="0"/>
    <x v="2"/>
    <x v="1"/>
    <n v="3743"/>
    <s v="Low"/>
    <s v="Low Risk"/>
  </r>
  <r>
    <x v="416"/>
    <x v="1"/>
    <s v="No"/>
    <x v="3"/>
    <x v="0"/>
    <s v="No"/>
    <n v="2135"/>
    <n v="0"/>
    <n v="597"/>
    <n v="120"/>
    <x v="0"/>
    <x v="0"/>
    <x v="1"/>
    <n v="2135"/>
    <s v="Low"/>
    <s v="Low Risk"/>
  </r>
  <r>
    <x v="417"/>
    <x v="1"/>
    <s v="No"/>
    <x v="1"/>
    <x v="1"/>
    <s v="Yes"/>
    <n v="9128"/>
    <n v="0"/>
    <n v="65"/>
    <n v="300"/>
    <x v="0"/>
    <x v="1"/>
    <x v="0"/>
    <n v="9128"/>
    <s v="Medium"/>
    <s v="Low Risk"/>
  </r>
  <r>
    <x v="418"/>
    <x v="1"/>
    <s v="No"/>
    <x v="0"/>
    <x v="1"/>
    <s v="Yes"/>
    <n v="12321"/>
    <n v="0"/>
    <n v="107"/>
    <n v="240"/>
    <x v="0"/>
    <x v="0"/>
    <x v="0"/>
    <n v="12321"/>
    <s v="High"/>
    <s v="Low Risk"/>
  </r>
  <r>
    <x v="419"/>
    <x v="1"/>
    <s v="Yes"/>
    <x v="1"/>
    <x v="1"/>
    <s v="No"/>
    <n v="1913"/>
    <n v="0"/>
    <n v="444"/>
    <n v="300"/>
    <x v="0"/>
    <x v="0"/>
    <x v="1"/>
    <n v="1913"/>
    <s v="Low"/>
    <s v="Low Risk"/>
  </r>
  <r>
    <x v="420"/>
    <x v="0"/>
    <s v="No"/>
    <x v="2"/>
    <x v="0"/>
    <s v="No"/>
    <n v="14250"/>
    <n v="11664"/>
    <n v="380"/>
    <n v="180"/>
    <x v="0"/>
    <x v="0"/>
    <x v="0"/>
    <n v="25914"/>
    <s v="High"/>
    <s v="Low Risk"/>
  </r>
  <r>
    <x v="421"/>
    <x v="0"/>
    <s v="No"/>
    <x v="3"/>
    <x v="1"/>
    <s v="Yes"/>
    <n v="13310"/>
    <n v="0"/>
    <n v="165"/>
    <n v="180"/>
    <x v="0"/>
    <x v="1"/>
    <x v="0"/>
    <n v="13310"/>
    <s v="High"/>
    <s v="Low Risk"/>
  </r>
  <r>
    <x v="422"/>
    <x v="0"/>
    <s v="Yes"/>
    <x v="0"/>
    <x v="0"/>
    <s v="No"/>
    <n v="9465"/>
    <n v="0"/>
    <n v="645"/>
    <n v="300"/>
    <x v="0"/>
    <x v="0"/>
    <x v="0"/>
    <n v="9465"/>
    <s v="Medium"/>
    <s v="Low Risk"/>
  </r>
  <r>
    <x v="423"/>
    <x v="1"/>
    <s v="Yes"/>
    <x v="1"/>
    <x v="0"/>
    <s v="No"/>
    <n v="4495"/>
    <n v="11738"/>
    <n v="690"/>
    <n v="120"/>
    <x v="0"/>
    <x v="2"/>
    <x v="0"/>
    <n v="16233"/>
    <s v="High"/>
    <s v="Low Risk"/>
  </r>
  <r>
    <x v="424"/>
    <x v="0"/>
    <s v="Yes"/>
    <x v="1"/>
    <x v="1"/>
    <s v="Yes"/>
    <n v="11878"/>
    <n v="9648"/>
    <n v="499"/>
    <n v="180"/>
    <x v="0"/>
    <x v="1"/>
    <x v="0"/>
    <n v="21526"/>
    <s v="High"/>
    <s v="Low Risk"/>
  </r>
  <r>
    <x v="425"/>
    <x v="1"/>
    <s v="Yes"/>
    <x v="0"/>
    <x v="0"/>
    <s v="No"/>
    <n v="24654"/>
    <n v="7668"/>
    <n v="605"/>
    <n v="300"/>
    <x v="0"/>
    <x v="0"/>
    <x v="0"/>
    <n v="32322"/>
    <s v="High"/>
    <s v="Low Risk"/>
  </r>
  <r>
    <x v="426"/>
    <x v="1"/>
    <s v="No"/>
    <x v="3"/>
    <x v="1"/>
    <s v="Yes"/>
    <n v="3756"/>
    <n v="0"/>
    <n v="510"/>
    <n v="240"/>
    <x v="1"/>
    <x v="2"/>
    <x v="1"/>
    <n v="3756"/>
    <s v="Low"/>
    <s v="High Risk"/>
  </r>
  <r>
    <x v="427"/>
    <x v="1"/>
    <s v="No"/>
    <x v="2"/>
    <x v="1"/>
    <s v="Yes"/>
    <n v="2113"/>
    <n v="10653"/>
    <n v="685"/>
    <n v="180"/>
    <x v="0"/>
    <x v="0"/>
    <x v="0"/>
    <n v="12766"/>
    <s v="High"/>
    <s v="Low Risk"/>
  </r>
  <r>
    <x v="428"/>
    <x v="1"/>
    <s v="Yes"/>
    <x v="3"/>
    <x v="0"/>
    <s v="No"/>
    <n v="12070"/>
    <n v="7214"/>
    <n v="163"/>
    <n v="120"/>
    <x v="0"/>
    <x v="0"/>
    <x v="0"/>
    <n v="19284"/>
    <s v="High"/>
    <s v="Low Risk"/>
  </r>
  <r>
    <x v="429"/>
    <x v="0"/>
    <s v="Yes"/>
    <x v="1"/>
    <x v="0"/>
    <s v="Yes"/>
    <n v="5007"/>
    <n v="0"/>
    <n v="151"/>
    <n v="120"/>
    <x v="0"/>
    <x v="1"/>
    <x v="0"/>
    <n v="5007"/>
    <s v="Medium"/>
    <s v="Low Risk"/>
  </r>
  <r>
    <x v="430"/>
    <x v="1"/>
    <s v="No"/>
    <x v="2"/>
    <x v="1"/>
    <s v="Yes"/>
    <n v="21355"/>
    <n v="0"/>
    <n v="63"/>
    <n v="180"/>
    <x v="0"/>
    <x v="0"/>
    <x v="0"/>
    <n v="21355"/>
    <s v="High"/>
    <s v="Low Risk"/>
  </r>
  <r>
    <x v="431"/>
    <x v="1"/>
    <s v="Yes"/>
    <x v="0"/>
    <x v="1"/>
    <s v="No"/>
    <n v="24713"/>
    <n v="1455"/>
    <n v="591"/>
    <n v="120"/>
    <x v="0"/>
    <x v="1"/>
    <x v="0"/>
    <n v="26168"/>
    <s v="High"/>
    <s v="Low Risk"/>
  </r>
  <r>
    <x v="432"/>
    <x v="0"/>
    <s v="Yes"/>
    <x v="2"/>
    <x v="0"/>
    <s v="Yes"/>
    <n v="18921"/>
    <n v="0"/>
    <n v="247"/>
    <n v="360"/>
    <x v="0"/>
    <x v="2"/>
    <x v="0"/>
    <n v="18921"/>
    <s v="High"/>
    <s v="Low Risk"/>
  </r>
  <r>
    <x v="433"/>
    <x v="0"/>
    <s v="No"/>
    <x v="2"/>
    <x v="1"/>
    <s v="No"/>
    <n v="24521"/>
    <n v="11399"/>
    <n v="156"/>
    <n v="180"/>
    <x v="1"/>
    <x v="2"/>
    <x v="0"/>
    <n v="35920"/>
    <s v="High"/>
    <s v="High Risk"/>
  </r>
  <r>
    <x v="434"/>
    <x v="1"/>
    <s v="No"/>
    <x v="1"/>
    <x v="1"/>
    <s v="No"/>
    <n v="11826"/>
    <n v="9512"/>
    <n v="430"/>
    <n v="300"/>
    <x v="0"/>
    <x v="1"/>
    <x v="0"/>
    <n v="21338"/>
    <s v="High"/>
    <s v="Low Risk"/>
  </r>
  <r>
    <x v="435"/>
    <x v="1"/>
    <s v="Yes"/>
    <x v="1"/>
    <x v="1"/>
    <s v="No"/>
    <n v="13296"/>
    <n v="7912"/>
    <n v="456"/>
    <n v="120"/>
    <x v="0"/>
    <x v="1"/>
    <x v="0"/>
    <n v="21208"/>
    <s v="High"/>
    <s v="Low Risk"/>
  </r>
  <r>
    <x v="436"/>
    <x v="0"/>
    <s v="Yes"/>
    <x v="0"/>
    <x v="0"/>
    <s v="No"/>
    <n v="8770"/>
    <n v="4019"/>
    <n v="72"/>
    <n v="240"/>
    <x v="1"/>
    <x v="2"/>
    <x v="0"/>
    <n v="12789"/>
    <s v="High"/>
    <s v="High Risk"/>
  </r>
  <r>
    <x v="437"/>
    <x v="0"/>
    <s v="Yes"/>
    <x v="2"/>
    <x v="1"/>
    <s v="No"/>
    <n v="6615"/>
    <n v="2767"/>
    <n v="425"/>
    <n v="360"/>
    <x v="0"/>
    <x v="1"/>
    <x v="0"/>
    <n v="9382"/>
    <s v="Medium"/>
    <s v="Low Risk"/>
  </r>
  <r>
    <x v="438"/>
    <x v="1"/>
    <s v="Yes"/>
    <x v="3"/>
    <x v="0"/>
    <s v="Yes"/>
    <n v="12139"/>
    <n v="13490"/>
    <n v="227"/>
    <n v="300"/>
    <x v="1"/>
    <x v="2"/>
    <x v="0"/>
    <n v="25629"/>
    <s v="High"/>
    <s v="High Risk"/>
  </r>
  <r>
    <x v="439"/>
    <x v="0"/>
    <s v="No"/>
    <x v="2"/>
    <x v="1"/>
    <s v="Yes"/>
    <n v="3332"/>
    <n v="13130"/>
    <n v="406"/>
    <n v="300"/>
    <x v="0"/>
    <x v="0"/>
    <x v="0"/>
    <n v="16462"/>
    <s v="High"/>
    <s v="Low Risk"/>
  </r>
  <r>
    <x v="440"/>
    <x v="0"/>
    <s v="Yes"/>
    <x v="3"/>
    <x v="0"/>
    <s v="No"/>
    <n v="18682"/>
    <n v="1174"/>
    <n v="602"/>
    <n v="360"/>
    <x v="0"/>
    <x v="2"/>
    <x v="0"/>
    <n v="19856"/>
    <s v="High"/>
    <s v="Low Risk"/>
  </r>
  <r>
    <x v="441"/>
    <x v="0"/>
    <s v="Yes"/>
    <x v="2"/>
    <x v="1"/>
    <s v="No"/>
    <n v="21001"/>
    <n v="0"/>
    <n v="277"/>
    <n v="300"/>
    <x v="0"/>
    <x v="1"/>
    <x v="0"/>
    <n v="21001"/>
    <s v="High"/>
    <s v="Low Risk"/>
  </r>
  <r>
    <x v="442"/>
    <x v="0"/>
    <s v="Yes"/>
    <x v="0"/>
    <x v="0"/>
    <s v="No"/>
    <n v="20224"/>
    <n v="0"/>
    <n v="611"/>
    <n v="300"/>
    <x v="0"/>
    <x v="1"/>
    <x v="0"/>
    <n v="20224"/>
    <s v="High"/>
    <s v="Low Risk"/>
  </r>
  <r>
    <x v="443"/>
    <x v="1"/>
    <s v="Yes"/>
    <x v="1"/>
    <x v="1"/>
    <s v="Yes"/>
    <n v="17486"/>
    <n v="0"/>
    <n v="624"/>
    <n v="360"/>
    <x v="1"/>
    <x v="2"/>
    <x v="0"/>
    <n v="17486"/>
    <s v="High"/>
    <s v="High Risk"/>
  </r>
  <r>
    <x v="444"/>
    <x v="0"/>
    <s v="Yes"/>
    <x v="2"/>
    <x v="1"/>
    <s v="No"/>
    <n v="12097"/>
    <n v="0"/>
    <n v="165"/>
    <n v="300"/>
    <x v="0"/>
    <x v="1"/>
    <x v="0"/>
    <n v="12097"/>
    <s v="High"/>
    <s v="Low Risk"/>
  </r>
  <r>
    <x v="445"/>
    <x v="0"/>
    <s v="No"/>
    <x v="0"/>
    <x v="0"/>
    <s v="No"/>
    <n v="7046"/>
    <n v="6229"/>
    <n v="688"/>
    <n v="180"/>
    <x v="0"/>
    <x v="0"/>
    <x v="0"/>
    <n v="13275"/>
    <s v="High"/>
    <s v="Low Risk"/>
  </r>
  <r>
    <x v="446"/>
    <x v="0"/>
    <s v="No"/>
    <x v="1"/>
    <x v="0"/>
    <s v="Yes"/>
    <n v="3287"/>
    <n v="0"/>
    <n v="344"/>
    <n v="120"/>
    <x v="0"/>
    <x v="0"/>
    <x v="1"/>
    <n v="3287"/>
    <s v="Low"/>
    <s v="Low Risk"/>
  </r>
  <r>
    <x v="447"/>
    <x v="1"/>
    <s v="No"/>
    <x v="3"/>
    <x v="0"/>
    <s v="No"/>
    <n v="8348"/>
    <n v="0"/>
    <n v="258"/>
    <n v="360"/>
    <x v="0"/>
    <x v="1"/>
    <x v="0"/>
    <n v="8348"/>
    <s v="Medium"/>
    <s v="Low Risk"/>
  </r>
  <r>
    <x v="448"/>
    <x v="1"/>
    <s v="Yes"/>
    <x v="2"/>
    <x v="1"/>
    <s v="Yes"/>
    <n v="9870"/>
    <n v="0"/>
    <n v="340"/>
    <n v="180"/>
    <x v="1"/>
    <x v="2"/>
    <x v="0"/>
    <n v="9870"/>
    <s v="Medium"/>
    <s v="High Risk"/>
  </r>
  <r>
    <x v="449"/>
    <x v="1"/>
    <s v="Yes"/>
    <x v="3"/>
    <x v="0"/>
    <s v="Yes"/>
    <n v="14235"/>
    <n v="11319"/>
    <n v="418"/>
    <n v="120"/>
    <x v="0"/>
    <x v="2"/>
    <x v="0"/>
    <n v="25554"/>
    <s v="High"/>
    <s v="Low Risk"/>
  </r>
  <r>
    <x v="450"/>
    <x v="1"/>
    <s v="Yes"/>
    <x v="3"/>
    <x v="0"/>
    <s v="No"/>
    <n v="17381"/>
    <n v="0"/>
    <n v="240"/>
    <n v="180"/>
    <x v="0"/>
    <x v="1"/>
    <x v="0"/>
    <n v="17381"/>
    <s v="High"/>
    <s v="Low Risk"/>
  </r>
  <r>
    <x v="451"/>
    <x v="0"/>
    <s v="Yes"/>
    <x v="1"/>
    <x v="1"/>
    <s v="No"/>
    <n v="17554"/>
    <n v="0"/>
    <n v="68"/>
    <n v="240"/>
    <x v="0"/>
    <x v="1"/>
    <x v="0"/>
    <n v="17554"/>
    <s v="High"/>
    <s v="Low Risk"/>
  </r>
  <r>
    <x v="452"/>
    <x v="1"/>
    <s v="Yes"/>
    <x v="0"/>
    <x v="0"/>
    <s v="No"/>
    <n v="14186"/>
    <n v="0"/>
    <n v="618"/>
    <n v="240"/>
    <x v="0"/>
    <x v="1"/>
    <x v="0"/>
    <n v="14186"/>
    <s v="High"/>
    <s v="Low Risk"/>
  </r>
  <r>
    <x v="453"/>
    <x v="1"/>
    <s v="Yes"/>
    <x v="2"/>
    <x v="1"/>
    <s v="Yes"/>
    <n v="15175"/>
    <n v="0"/>
    <n v="486"/>
    <n v="240"/>
    <x v="1"/>
    <x v="1"/>
    <x v="0"/>
    <n v="15175"/>
    <s v="High"/>
    <s v="High Risk"/>
  </r>
  <r>
    <x v="454"/>
    <x v="1"/>
    <s v="Yes"/>
    <x v="1"/>
    <x v="0"/>
    <s v="Yes"/>
    <n v="6025"/>
    <n v="0"/>
    <n v="490"/>
    <n v="180"/>
    <x v="0"/>
    <x v="2"/>
    <x v="0"/>
    <n v="6025"/>
    <s v="Medium"/>
    <s v="Low Risk"/>
  </r>
  <r>
    <x v="455"/>
    <x v="0"/>
    <s v="No"/>
    <x v="2"/>
    <x v="0"/>
    <s v="Yes"/>
    <n v="11907"/>
    <n v="0"/>
    <n v="80"/>
    <n v="240"/>
    <x v="1"/>
    <x v="1"/>
    <x v="0"/>
    <n v="11907"/>
    <s v="High"/>
    <s v="High Risk"/>
  </r>
  <r>
    <x v="456"/>
    <x v="1"/>
    <s v="No"/>
    <x v="3"/>
    <x v="1"/>
    <s v="Yes"/>
    <n v="7658"/>
    <n v="0"/>
    <n v="239"/>
    <n v="120"/>
    <x v="0"/>
    <x v="2"/>
    <x v="0"/>
    <n v="7658"/>
    <s v="Medium"/>
    <s v="Low Risk"/>
  </r>
  <r>
    <x v="457"/>
    <x v="1"/>
    <s v="Yes"/>
    <x v="1"/>
    <x v="0"/>
    <s v="Yes"/>
    <n v="13272"/>
    <n v="1802"/>
    <n v="187"/>
    <n v="360"/>
    <x v="1"/>
    <x v="1"/>
    <x v="0"/>
    <n v="15074"/>
    <s v="High"/>
    <s v="High Risk"/>
  </r>
  <r>
    <x v="458"/>
    <x v="1"/>
    <s v="Yes"/>
    <x v="3"/>
    <x v="1"/>
    <s v="No"/>
    <n v="6006"/>
    <n v="0"/>
    <n v="281"/>
    <n v="120"/>
    <x v="0"/>
    <x v="0"/>
    <x v="0"/>
    <n v="6006"/>
    <s v="Medium"/>
    <s v="Low Risk"/>
  </r>
  <r>
    <x v="459"/>
    <x v="1"/>
    <s v="No"/>
    <x v="1"/>
    <x v="0"/>
    <s v="Yes"/>
    <n v="3667"/>
    <n v="3401"/>
    <n v="681"/>
    <n v="300"/>
    <x v="0"/>
    <x v="1"/>
    <x v="0"/>
    <n v="7068"/>
    <s v="Medium"/>
    <s v="Low Risk"/>
  </r>
  <r>
    <x v="460"/>
    <x v="0"/>
    <s v="No"/>
    <x v="3"/>
    <x v="0"/>
    <s v="No"/>
    <n v="11753"/>
    <n v="0"/>
    <n v="583"/>
    <n v="120"/>
    <x v="0"/>
    <x v="0"/>
    <x v="0"/>
    <n v="11753"/>
    <s v="High"/>
    <s v="Low Risk"/>
  </r>
  <r>
    <x v="461"/>
    <x v="0"/>
    <s v="No"/>
    <x v="2"/>
    <x v="1"/>
    <s v="Yes"/>
    <n v="7721"/>
    <n v="5270"/>
    <n v="457"/>
    <n v="240"/>
    <x v="0"/>
    <x v="1"/>
    <x v="0"/>
    <n v="12991"/>
    <s v="High"/>
    <s v="Low Risk"/>
  </r>
  <r>
    <x v="462"/>
    <x v="1"/>
    <s v="Yes"/>
    <x v="3"/>
    <x v="1"/>
    <s v="Yes"/>
    <n v="24108"/>
    <n v="0"/>
    <n v="524"/>
    <n v="300"/>
    <x v="0"/>
    <x v="2"/>
    <x v="0"/>
    <n v="24108"/>
    <s v="High"/>
    <s v="Low Risk"/>
  </r>
  <r>
    <x v="463"/>
    <x v="0"/>
    <s v="Yes"/>
    <x v="1"/>
    <x v="1"/>
    <s v="No"/>
    <n v="12099"/>
    <n v="0"/>
    <n v="233"/>
    <n v="300"/>
    <x v="0"/>
    <x v="2"/>
    <x v="0"/>
    <n v="12099"/>
    <s v="High"/>
    <s v="Low Risk"/>
  </r>
  <r>
    <x v="464"/>
    <x v="0"/>
    <s v="No"/>
    <x v="2"/>
    <x v="1"/>
    <s v="No"/>
    <n v="24166"/>
    <n v="0"/>
    <n v="176"/>
    <n v="120"/>
    <x v="0"/>
    <x v="1"/>
    <x v="0"/>
    <n v="24166"/>
    <s v="High"/>
    <s v="Low Risk"/>
  </r>
  <r>
    <x v="465"/>
    <x v="1"/>
    <s v="Yes"/>
    <x v="3"/>
    <x v="0"/>
    <s v="No"/>
    <n v="19533"/>
    <n v="0"/>
    <n v="224"/>
    <n v="240"/>
    <x v="0"/>
    <x v="2"/>
    <x v="0"/>
    <n v="19533"/>
    <s v="High"/>
    <s v="Low Risk"/>
  </r>
  <r>
    <x v="466"/>
    <x v="0"/>
    <s v="Yes"/>
    <x v="1"/>
    <x v="0"/>
    <s v="Yes"/>
    <n v="15248"/>
    <n v="5547"/>
    <n v="506"/>
    <n v="240"/>
    <x v="0"/>
    <x v="0"/>
    <x v="0"/>
    <n v="20795"/>
    <s v="High"/>
    <s v="Low Risk"/>
  </r>
  <r>
    <x v="467"/>
    <x v="0"/>
    <s v="Yes"/>
    <x v="2"/>
    <x v="1"/>
    <s v="Yes"/>
    <n v="16528"/>
    <n v="8653"/>
    <n v="606"/>
    <n v="120"/>
    <x v="0"/>
    <x v="1"/>
    <x v="0"/>
    <n v="25181"/>
    <s v="High"/>
    <s v="Low Risk"/>
  </r>
  <r>
    <x v="468"/>
    <x v="0"/>
    <s v="Yes"/>
    <x v="3"/>
    <x v="1"/>
    <s v="No"/>
    <n v="15979"/>
    <n v="0"/>
    <n v="300"/>
    <n v="360"/>
    <x v="0"/>
    <x v="2"/>
    <x v="0"/>
    <n v="15979"/>
    <s v="High"/>
    <s v="Low Risk"/>
  </r>
  <r>
    <x v="469"/>
    <x v="0"/>
    <s v="Yes"/>
    <x v="1"/>
    <x v="0"/>
    <s v="Yes"/>
    <n v="22906"/>
    <n v="0"/>
    <n v="198"/>
    <n v="120"/>
    <x v="0"/>
    <x v="2"/>
    <x v="0"/>
    <n v="22906"/>
    <s v="High"/>
    <s v="Low Risk"/>
  </r>
  <r>
    <x v="470"/>
    <x v="1"/>
    <s v="No"/>
    <x v="2"/>
    <x v="0"/>
    <s v="Yes"/>
    <n v="15162"/>
    <n v="0"/>
    <n v="341"/>
    <n v="360"/>
    <x v="0"/>
    <x v="2"/>
    <x v="0"/>
    <n v="15162"/>
    <s v="High"/>
    <s v="Low Risk"/>
  </r>
  <r>
    <x v="471"/>
    <x v="0"/>
    <s v="No"/>
    <x v="0"/>
    <x v="0"/>
    <s v="Yes"/>
    <n v="11307"/>
    <n v="5789"/>
    <n v="438"/>
    <n v="120"/>
    <x v="0"/>
    <x v="2"/>
    <x v="0"/>
    <n v="17096"/>
    <s v="High"/>
    <s v="Low Risk"/>
  </r>
  <r>
    <x v="472"/>
    <x v="0"/>
    <s v="No"/>
    <x v="3"/>
    <x v="0"/>
    <s v="Yes"/>
    <n v="24261"/>
    <n v="14580"/>
    <n v="387"/>
    <n v="360"/>
    <x v="0"/>
    <x v="0"/>
    <x v="0"/>
    <n v="38841"/>
    <s v="High"/>
    <s v="Low Risk"/>
  </r>
  <r>
    <x v="473"/>
    <x v="0"/>
    <s v="Yes"/>
    <x v="2"/>
    <x v="0"/>
    <s v="No"/>
    <n v="24065"/>
    <n v="10408"/>
    <n v="487"/>
    <n v="360"/>
    <x v="1"/>
    <x v="1"/>
    <x v="0"/>
    <n v="34473"/>
    <s v="High"/>
    <s v="High Risk"/>
  </r>
  <r>
    <x v="474"/>
    <x v="1"/>
    <s v="Yes"/>
    <x v="3"/>
    <x v="1"/>
    <s v="No"/>
    <n v="7395"/>
    <n v="0"/>
    <n v="347"/>
    <n v="180"/>
    <x v="0"/>
    <x v="0"/>
    <x v="0"/>
    <n v="7395"/>
    <s v="Medium"/>
    <s v="Low Risk"/>
  </r>
  <r>
    <x v="475"/>
    <x v="1"/>
    <s v="Yes"/>
    <x v="1"/>
    <x v="1"/>
    <s v="No"/>
    <n v="2990"/>
    <n v="5968"/>
    <n v="623"/>
    <n v="180"/>
    <x v="0"/>
    <x v="0"/>
    <x v="0"/>
    <n v="8958"/>
    <s v="Medium"/>
    <s v="Low Risk"/>
  </r>
  <r>
    <x v="476"/>
    <x v="1"/>
    <s v="No"/>
    <x v="2"/>
    <x v="1"/>
    <s v="No"/>
    <n v="18103"/>
    <n v="9511"/>
    <n v="56"/>
    <n v="120"/>
    <x v="0"/>
    <x v="1"/>
    <x v="0"/>
    <n v="27614"/>
    <s v="High"/>
    <s v="Low Risk"/>
  </r>
  <r>
    <x v="477"/>
    <x v="1"/>
    <s v="Yes"/>
    <x v="1"/>
    <x v="0"/>
    <s v="No"/>
    <n v="12573"/>
    <n v="11517"/>
    <n v="535"/>
    <n v="120"/>
    <x v="0"/>
    <x v="1"/>
    <x v="0"/>
    <n v="24090"/>
    <s v="High"/>
    <s v="Low Risk"/>
  </r>
  <r>
    <x v="478"/>
    <x v="0"/>
    <s v="No"/>
    <x v="0"/>
    <x v="1"/>
    <s v="No"/>
    <n v="3335"/>
    <n v="14182"/>
    <n v="628"/>
    <n v="240"/>
    <x v="0"/>
    <x v="0"/>
    <x v="0"/>
    <n v="17517"/>
    <s v="High"/>
    <s v="Low Risk"/>
  </r>
  <r>
    <x v="479"/>
    <x v="0"/>
    <s v="No"/>
    <x v="0"/>
    <x v="0"/>
    <s v="Yes"/>
    <n v="10690"/>
    <n v="0"/>
    <n v="397"/>
    <n v="300"/>
    <x v="0"/>
    <x v="0"/>
    <x v="0"/>
    <n v="10690"/>
    <s v="High"/>
    <s v="Low Risk"/>
  </r>
  <r>
    <x v="480"/>
    <x v="1"/>
    <s v="Yes"/>
    <x v="2"/>
    <x v="1"/>
    <s v="No"/>
    <n v="24760"/>
    <n v="1018"/>
    <n v="473"/>
    <n v="120"/>
    <x v="0"/>
    <x v="0"/>
    <x v="0"/>
    <n v="25778"/>
    <s v="High"/>
    <s v="Low Risk"/>
  </r>
  <r>
    <x v="481"/>
    <x v="1"/>
    <s v="No"/>
    <x v="0"/>
    <x v="0"/>
    <s v="No"/>
    <n v="7234"/>
    <n v="2338"/>
    <n v="88"/>
    <n v="180"/>
    <x v="1"/>
    <x v="1"/>
    <x v="0"/>
    <n v="9572"/>
    <s v="Medium"/>
    <s v="High Risk"/>
  </r>
  <r>
    <x v="482"/>
    <x v="0"/>
    <s v="No"/>
    <x v="1"/>
    <x v="0"/>
    <s v="No"/>
    <n v="17342"/>
    <n v="12500"/>
    <n v="385"/>
    <n v="180"/>
    <x v="0"/>
    <x v="0"/>
    <x v="0"/>
    <n v="29842"/>
    <s v="High"/>
    <s v="Low Risk"/>
  </r>
  <r>
    <x v="483"/>
    <x v="0"/>
    <s v="Yes"/>
    <x v="2"/>
    <x v="1"/>
    <s v="No"/>
    <n v="24885"/>
    <n v="0"/>
    <n v="54"/>
    <n v="240"/>
    <x v="1"/>
    <x v="2"/>
    <x v="0"/>
    <n v="24885"/>
    <s v="High"/>
    <s v="High Risk"/>
  </r>
  <r>
    <x v="484"/>
    <x v="0"/>
    <s v="No"/>
    <x v="3"/>
    <x v="0"/>
    <s v="Yes"/>
    <n v="18558"/>
    <n v="13053"/>
    <n v="73"/>
    <n v="360"/>
    <x v="0"/>
    <x v="2"/>
    <x v="0"/>
    <n v="31611"/>
    <s v="High"/>
    <s v="Low Risk"/>
  </r>
  <r>
    <x v="485"/>
    <x v="0"/>
    <s v="No"/>
    <x v="1"/>
    <x v="0"/>
    <s v="No"/>
    <n v="10565"/>
    <n v="9220"/>
    <n v="501"/>
    <n v="120"/>
    <x v="0"/>
    <x v="0"/>
    <x v="0"/>
    <n v="19785"/>
    <s v="High"/>
    <s v="Low Risk"/>
  </r>
  <r>
    <x v="486"/>
    <x v="1"/>
    <s v="Yes"/>
    <x v="2"/>
    <x v="0"/>
    <s v="Yes"/>
    <n v="19277"/>
    <n v="6239"/>
    <n v="327"/>
    <n v="180"/>
    <x v="1"/>
    <x v="1"/>
    <x v="0"/>
    <n v="25516"/>
    <s v="High"/>
    <s v="High Risk"/>
  </r>
  <r>
    <x v="487"/>
    <x v="0"/>
    <s v="Yes"/>
    <x v="2"/>
    <x v="1"/>
    <s v="No"/>
    <n v="19213"/>
    <n v="0"/>
    <n v="183"/>
    <n v="120"/>
    <x v="0"/>
    <x v="2"/>
    <x v="0"/>
    <n v="19213"/>
    <s v="High"/>
    <s v="Low Risk"/>
  </r>
  <r>
    <x v="488"/>
    <x v="0"/>
    <s v="Yes"/>
    <x v="3"/>
    <x v="0"/>
    <s v="Yes"/>
    <n v="15474"/>
    <n v="0"/>
    <n v="660"/>
    <n v="360"/>
    <x v="0"/>
    <x v="2"/>
    <x v="0"/>
    <n v="15474"/>
    <s v="High"/>
    <s v="Low Risk"/>
  </r>
  <r>
    <x v="489"/>
    <x v="1"/>
    <s v="No"/>
    <x v="0"/>
    <x v="1"/>
    <s v="Yes"/>
    <n v="24860"/>
    <n v="0"/>
    <n v="526"/>
    <n v="360"/>
    <x v="0"/>
    <x v="2"/>
    <x v="0"/>
    <n v="24860"/>
    <s v="High"/>
    <s v="Low Risk"/>
  </r>
  <r>
    <x v="490"/>
    <x v="1"/>
    <s v="Yes"/>
    <x v="3"/>
    <x v="1"/>
    <s v="No"/>
    <n v="16918"/>
    <n v="0"/>
    <n v="197"/>
    <n v="360"/>
    <x v="0"/>
    <x v="1"/>
    <x v="0"/>
    <n v="16918"/>
    <s v="High"/>
    <s v="Low Risk"/>
  </r>
  <r>
    <x v="491"/>
    <x v="1"/>
    <s v="Yes"/>
    <x v="0"/>
    <x v="1"/>
    <s v="No"/>
    <n v="17474"/>
    <n v="0"/>
    <n v="536"/>
    <n v="120"/>
    <x v="0"/>
    <x v="1"/>
    <x v="0"/>
    <n v="17474"/>
    <s v="High"/>
    <s v="Low Risk"/>
  </r>
  <r>
    <x v="492"/>
    <x v="0"/>
    <s v="No"/>
    <x v="0"/>
    <x v="0"/>
    <s v="Yes"/>
    <n v="14793"/>
    <n v="0"/>
    <n v="383"/>
    <n v="360"/>
    <x v="0"/>
    <x v="1"/>
    <x v="0"/>
    <n v="14793"/>
    <s v="High"/>
    <s v="Low Risk"/>
  </r>
  <r>
    <x v="493"/>
    <x v="1"/>
    <s v="No"/>
    <x v="3"/>
    <x v="0"/>
    <s v="Yes"/>
    <n v="19455"/>
    <n v="3105"/>
    <n v="443"/>
    <n v="120"/>
    <x v="0"/>
    <x v="2"/>
    <x v="0"/>
    <n v="22560"/>
    <s v="High"/>
    <s v="Low Risk"/>
  </r>
  <r>
    <x v="494"/>
    <x v="1"/>
    <s v="No"/>
    <x v="0"/>
    <x v="0"/>
    <s v="Yes"/>
    <n v="23212"/>
    <n v="0"/>
    <n v="637"/>
    <n v="300"/>
    <x v="0"/>
    <x v="2"/>
    <x v="0"/>
    <n v="23212"/>
    <s v="High"/>
    <s v="Low Risk"/>
  </r>
  <r>
    <x v="495"/>
    <x v="1"/>
    <s v="No"/>
    <x v="2"/>
    <x v="1"/>
    <s v="Yes"/>
    <n v="11593"/>
    <n v="0"/>
    <n v="662"/>
    <n v="120"/>
    <x v="0"/>
    <x v="2"/>
    <x v="0"/>
    <n v="11593"/>
    <s v="High"/>
    <s v="Low Risk"/>
  </r>
  <r>
    <x v="496"/>
    <x v="1"/>
    <s v="No"/>
    <x v="3"/>
    <x v="0"/>
    <s v="Yes"/>
    <n v="8630"/>
    <n v="0"/>
    <n v="644"/>
    <n v="120"/>
    <x v="0"/>
    <x v="2"/>
    <x v="0"/>
    <n v="8630"/>
    <s v="Medium"/>
    <s v="Low Risk"/>
  </r>
  <r>
    <x v="497"/>
    <x v="0"/>
    <s v="No"/>
    <x v="0"/>
    <x v="1"/>
    <s v="No"/>
    <n v="7911"/>
    <n v="3869"/>
    <n v="356"/>
    <n v="360"/>
    <x v="1"/>
    <x v="2"/>
    <x v="0"/>
    <n v="11780"/>
    <s v="High"/>
    <s v="High Risk"/>
  </r>
  <r>
    <x v="498"/>
    <x v="1"/>
    <s v="No"/>
    <x v="0"/>
    <x v="0"/>
    <s v="Yes"/>
    <n v="21537"/>
    <n v="8862"/>
    <n v="180"/>
    <n v="240"/>
    <x v="0"/>
    <x v="2"/>
    <x v="0"/>
    <n v="30399"/>
    <s v="High"/>
    <s v="Low Risk"/>
  </r>
  <r>
    <x v="499"/>
    <x v="0"/>
    <s v="Yes"/>
    <x v="0"/>
    <x v="0"/>
    <s v="No"/>
    <n v="2521"/>
    <n v="4354"/>
    <n v="654"/>
    <n v="300"/>
    <x v="0"/>
    <x v="2"/>
    <x v="0"/>
    <n v="6875"/>
    <s v="Medium"/>
    <s v="Low Risk"/>
  </r>
  <r>
    <x v="500"/>
    <x v="1"/>
    <s v="No"/>
    <x v="3"/>
    <x v="1"/>
    <s v="Yes"/>
    <n v="23208"/>
    <n v="3341"/>
    <n v="192"/>
    <n v="180"/>
    <x v="0"/>
    <x v="1"/>
    <x v="0"/>
    <n v="26549"/>
    <s v="High"/>
    <s v="Low Risk"/>
  </r>
  <r>
    <x v="501"/>
    <x v="1"/>
    <s v="Yes"/>
    <x v="0"/>
    <x v="0"/>
    <s v="Yes"/>
    <n v="1880"/>
    <n v="0"/>
    <n v="197"/>
    <n v="300"/>
    <x v="0"/>
    <x v="0"/>
    <x v="1"/>
    <n v="1880"/>
    <s v="Low"/>
    <s v="Low Risk"/>
  </r>
  <r>
    <x v="502"/>
    <x v="0"/>
    <s v="Yes"/>
    <x v="3"/>
    <x v="1"/>
    <s v="No"/>
    <n v="21922"/>
    <n v="3445"/>
    <n v="571"/>
    <n v="300"/>
    <x v="0"/>
    <x v="1"/>
    <x v="0"/>
    <n v="25367"/>
    <s v="High"/>
    <s v="Low Risk"/>
  </r>
  <r>
    <x v="503"/>
    <x v="1"/>
    <s v="No"/>
    <x v="1"/>
    <x v="0"/>
    <s v="No"/>
    <n v="21310"/>
    <n v="621"/>
    <n v="292"/>
    <n v="360"/>
    <x v="0"/>
    <x v="2"/>
    <x v="0"/>
    <n v="21931"/>
    <s v="High"/>
    <s v="Low Risk"/>
  </r>
  <r>
    <x v="504"/>
    <x v="1"/>
    <s v="Yes"/>
    <x v="2"/>
    <x v="1"/>
    <s v="No"/>
    <n v="5208"/>
    <n v="10007"/>
    <n v="131"/>
    <n v="180"/>
    <x v="0"/>
    <x v="2"/>
    <x v="0"/>
    <n v="15215"/>
    <s v="High"/>
    <s v="Low Risk"/>
  </r>
  <r>
    <x v="505"/>
    <x v="1"/>
    <s v="No"/>
    <x v="2"/>
    <x v="0"/>
    <s v="Yes"/>
    <n v="16981"/>
    <n v="0"/>
    <n v="698"/>
    <n v="360"/>
    <x v="1"/>
    <x v="1"/>
    <x v="0"/>
    <n v="16981"/>
    <s v="High"/>
    <s v="High Risk"/>
  </r>
  <r>
    <x v="506"/>
    <x v="0"/>
    <s v="No"/>
    <x v="2"/>
    <x v="1"/>
    <s v="No"/>
    <n v="18298"/>
    <n v="8187"/>
    <n v="481"/>
    <n v="240"/>
    <x v="1"/>
    <x v="1"/>
    <x v="0"/>
    <n v="26485"/>
    <s v="High"/>
    <s v="High Risk"/>
  </r>
  <r>
    <x v="507"/>
    <x v="1"/>
    <s v="Yes"/>
    <x v="2"/>
    <x v="1"/>
    <s v="No"/>
    <n v="3512"/>
    <n v="10810"/>
    <n v="642"/>
    <n v="180"/>
    <x v="0"/>
    <x v="2"/>
    <x v="0"/>
    <n v="14322"/>
    <s v="High"/>
    <s v="Low Risk"/>
  </r>
  <r>
    <x v="508"/>
    <x v="1"/>
    <s v="Yes"/>
    <x v="0"/>
    <x v="1"/>
    <s v="Yes"/>
    <n v="5655"/>
    <n v="0"/>
    <n v="334"/>
    <n v="240"/>
    <x v="0"/>
    <x v="1"/>
    <x v="0"/>
    <n v="5655"/>
    <s v="Medium"/>
    <s v="Low Risk"/>
  </r>
  <r>
    <x v="509"/>
    <x v="1"/>
    <s v="No"/>
    <x v="2"/>
    <x v="0"/>
    <s v="Yes"/>
    <n v="20891"/>
    <n v="0"/>
    <n v="507"/>
    <n v="240"/>
    <x v="1"/>
    <x v="1"/>
    <x v="0"/>
    <n v="20891"/>
    <s v="High"/>
    <s v="High Risk"/>
  </r>
  <r>
    <x v="510"/>
    <x v="0"/>
    <s v="No"/>
    <x v="1"/>
    <x v="0"/>
    <s v="No"/>
    <n v="4265"/>
    <n v="0"/>
    <n v="557"/>
    <n v="300"/>
    <x v="0"/>
    <x v="0"/>
    <x v="0"/>
    <n v="4265"/>
    <s v="Low"/>
    <s v="Low Risk"/>
  </r>
  <r>
    <x v="511"/>
    <x v="1"/>
    <s v="Yes"/>
    <x v="1"/>
    <x v="1"/>
    <s v="Yes"/>
    <n v="22545"/>
    <n v="0"/>
    <n v="103"/>
    <n v="180"/>
    <x v="0"/>
    <x v="1"/>
    <x v="0"/>
    <n v="22545"/>
    <s v="High"/>
    <s v="Low Risk"/>
  </r>
  <r>
    <x v="512"/>
    <x v="1"/>
    <s v="No"/>
    <x v="1"/>
    <x v="1"/>
    <s v="No"/>
    <n v="17051"/>
    <n v="0"/>
    <n v="593"/>
    <n v="300"/>
    <x v="0"/>
    <x v="1"/>
    <x v="0"/>
    <n v="17051"/>
    <s v="High"/>
    <s v="Low Risk"/>
  </r>
  <r>
    <x v="513"/>
    <x v="1"/>
    <s v="No"/>
    <x v="2"/>
    <x v="0"/>
    <s v="No"/>
    <n v="15648"/>
    <n v="10502"/>
    <n v="393"/>
    <n v="240"/>
    <x v="0"/>
    <x v="0"/>
    <x v="0"/>
    <n v="26150"/>
    <s v="High"/>
    <s v="Low Risk"/>
  </r>
  <r>
    <x v="514"/>
    <x v="1"/>
    <s v="No"/>
    <x v="3"/>
    <x v="0"/>
    <s v="Yes"/>
    <n v="18537"/>
    <n v="0"/>
    <n v="370"/>
    <n v="360"/>
    <x v="0"/>
    <x v="0"/>
    <x v="0"/>
    <n v="18537"/>
    <s v="High"/>
    <s v="Low Risk"/>
  </r>
  <r>
    <x v="515"/>
    <x v="0"/>
    <s v="Yes"/>
    <x v="3"/>
    <x v="0"/>
    <s v="Yes"/>
    <n v="23962"/>
    <n v="7806"/>
    <n v="274"/>
    <n v="240"/>
    <x v="0"/>
    <x v="0"/>
    <x v="0"/>
    <n v="31768"/>
    <s v="High"/>
    <s v="Low Risk"/>
  </r>
  <r>
    <x v="516"/>
    <x v="0"/>
    <s v="Yes"/>
    <x v="2"/>
    <x v="0"/>
    <s v="Yes"/>
    <n v="24702"/>
    <n v="0"/>
    <n v="669"/>
    <n v="180"/>
    <x v="0"/>
    <x v="2"/>
    <x v="0"/>
    <n v="24702"/>
    <s v="High"/>
    <s v="Low Risk"/>
  </r>
  <r>
    <x v="517"/>
    <x v="0"/>
    <s v="Yes"/>
    <x v="1"/>
    <x v="1"/>
    <s v="No"/>
    <n v="16801"/>
    <n v="0"/>
    <n v="514"/>
    <n v="240"/>
    <x v="0"/>
    <x v="2"/>
    <x v="0"/>
    <n v="16801"/>
    <s v="High"/>
    <s v="Low Risk"/>
  </r>
  <r>
    <x v="518"/>
    <x v="1"/>
    <s v="No"/>
    <x v="1"/>
    <x v="0"/>
    <s v="No"/>
    <n v="3544"/>
    <n v="6771"/>
    <n v="390"/>
    <n v="120"/>
    <x v="0"/>
    <x v="1"/>
    <x v="0"/>
    <n v="10315"/>
    <s v="High"/>
    <s v="Low Risk"/>
  </r>
  <r>
    <x v="519"/>
    <x v="0"/>
    <s v="No"/>
    <x v="2"/>
    <x v="1"/>
    <s v="Yes"/>
    <n v="21498"/>
    <n v="0"/>
    <n v="553"/>
    <n v="120"/>
    <x v="0"/>
    <x v="1"/>
    <x v="0"/>
    <n v="21498"/>
    <s v="High"/>
    <s v="Low Risk"/>
  </r>
  <r>
    <x v="520"/>
    <x v="0"/>
    <s v="Yes"/>
    <x v="3"/>
    <x v="1"/>
    <s v="Yes"/>
    <n v="2642"/>
    <n v="0"/>
    <n v="635"/>
    <n v="240"/>
    <x v="0"/>
    <x v="0"/>
    <x v="1"/>
    <n v="2642"/>
    <s v="Low"/>
    <s v="Low Risk"/>
  </r>
  <r>
    <x v="521"/>
    <x v="1"/>
    <s v="Yes"/>
    <x v="2"/>
    <x v="0"/>
    <s v="No"/>
    <n v="10230"/>
    <n v="2983"/>
    <n v="450"/>
    <n v="360"/>
    <x v="0"/>
    <x v="2"/>
    <x v="0"/>
    <n v="13213"/>
    <s v="High"/>
    <s v="Low Risk"/>
  </r>
  <r>
    <x v="522"/>
    <x v="1"/>
    <s v="No"/>
    <x v="3"/>
    <x v="1"/>
    <s v="Yes"/>
    <n v="19198"/>
    <n v="0"/>
    <n v="443"/>
    <n v="300"/>
    <x v="0"/>
    <x v="2"/>
    <x v="0"/>
    <n v="19198"/>
    <s v="High"/>
    <s v="Low Risk"/>
  </r>
  <r>
    <x v="523"/>
    <x v="1"/>
    <s v="No"/>
    <x v="0"/>
    <x v="1"/>
    <s v="Yes"/>
    <n v="22218"/>
    <n v="0"/>
    <n v="424"/>
    <n v="360"/>
    <x v="1"/>
    <x v="1"/>
    <x v="0"/>
    <n v="22218"/>
    <s v="High"/>
    <s v="High Risk"/>
  </r>
  <r>
    <x v="524"/>
    <x v="0"/>
    <s v="No"/>
    <x v="0"/>
    <x v="0"/>
    <s v="Yes"/>
    <n v="19669"/>
    <n v="1144"/>
    <n v="245"/>
    <n v="240"/>
    <x v="0"/>
    <x v="0"/>
    <x v="0"/>
    <n v="20813"/>
    <s v="High"/>
    <s v="Low Risk"/>
  </r>
  <r>
    <x v="525"/>
    <x v="1"/>
    <s v="No"/>
    <x v="2"/>
    <x v="1"/>
    <s v="Yes"/>
    <n v="6085"/>
    <n v="0"/>
    <n v="75"/>
    <n v="360"/>
    <x v="0"/>
    <x v="1"/>
    <x v="0"/>
    <n v="6085"/>
    <s v="Medium"/>
    <s v="Low Risk"/>
  </r>
  <r>
    <x v="526"/>
    <x v="0"/>
    <s v="No"/>
    <x v="3"/>
    <x v="1"/>
    <s v="Yes"/>
    <n v="2713"/>
    <n v="0"/>
    <n v="395"/>
    <n v="120"/>
    <x v="0"/>
    <x v="0"/>
    <x v="1"/>
    <n v="2713"/>
    <s v="Low"/>
    <s v="Low Risk"/>
  </r>
  <r>
    <x v="527"/>
    <x v="1"/>
    <s v="Yes"/>
    <x v="1"/>
    <x v="0"/>
    <s v="Yes"/>
    <n v="6139"/>
    <n v="0"/>
    <n v="532"/>
    <n v="360"/>
    <x v="0"/>
    <x v="2"/>
    <x v="0"/>
    <n v="6139"/>
    <s v="Medium"/>
    <s v="Low Risk"/>
  </r>
  <r>
    <x v="528"/>
    <x v="0"/>
    <s v="Yes"/>
    <x v="1"/>
    <x v="0"/>
    <s v="No"/>
    <n v="4688"/>
    <n v="0"/>
    <n v="655"/>
    <n v="120"/>
    <x v="1"/>
    <x v="0"/>
    <x v="1"/>
    <n v="4688"/>
    <s v="Low"/>
    <s v="High Risk"/>
  </r>
  <r>
    <x v="529"/>
    <x v="0"/>
    <s v="No"/>
    <x v="1"/>
    <x v="0"/>
    <s v="Yes"/>
    <n v="15466"/>
    <n v="6027"/>
    <n v="382"/>
    <n v="120"/>
    <x v="1"/>
    <x v="2"/>
    <x v="0"/>
    <n v="21493"/>
    <s v="High"/>
    <s v="High Risk"/>
  </r>
  <r>
    <x v="530"/>
    <x v="0"/>
    <s v="No"/>
    <x v="1"/>
    <x v="0"/>
    <s v="Yes"/>
    <n v="12493"/>
    <n v="0"/>
    <n v="330"/>
    <n v="180"/>
    <x v="0"/>
    <x v="0"/>
    <x v="0"/>
    <n v="12493"/>
    <s v="High"/>
    <s v="Low Risk"/>
  </r>
  <r>
    <x v="531"/>
    <x v="1"/>
    <s v="Yes"/>
    <x v="3"/>
    <x v="0"/>
    <s v="Yes"/>
    <n v="5870"/>
    <n v="2137"/>
    <n v="211"/>
    <n v="120"/>
    <x v="1"/>
    <x v="0"/>
    <x v="0"/>
    <n v="8007"/>
    <s v="Medium"/>
    <s v="High Risk"/>
  </r>
  <r>
    <x v="532"/>
    <x v="0"/>
    <s v="Yes"/>
    <x v="1"/>
    <x v="0"/>
    <s v="No"/>
    <n v="15138"/>
    <n v="11862"/>
    <n v="179"/>
    <n v="180"/>
    <x v="0"/>
    <x v="1"/>
    <x v="0"/>
    <n v="27000"/>
    <s v="High"/>
    <s v="Low Risk"/>
  </r>
  <r>
    <x v="533"/>
    <x v="1"/>
    <s v="No"/>
    <x v="1"/>
    <x v="0"/>
    <s v="Yes"/>
    <n v="21038"/>
    <n v="3449"/>
    <n v="676"/>
    <n v="120"/>
    <x v="0"/>
    <x v="1"/>
    <x v="0"/>
    <n v="24487"/>
    <s v="High"/>
    <s v="Low Risk"/>
  </r>
  <r>
    <x v="534"/>
    <x v="1"/>
    <s v="No"/>
    <x v="2"/>
    <x v="0"/>
    <s v="Yes"/>
    <n v="5350"/>
    <n v="0"/>
    <n v="683"/>
    <n v="240"/>
    <x v="1"/>
    <x v="2"/>
    <x v="1"/>
    <n v="5350"/>
    <s v="Medium"/>
    <s v="High Risk"/>
  </r>
  <r>
    <x v="535"/>
    <x v="0"/>
    <s v="No"/>
    <x v="1"/>
    <x v="1"/>
    <s v="Yes"/>
    <n v="7847"/>
    <n v="0"/>
    <n v="535"/>
    <n v="300"/>
    <x v="0"/>
    <x v="2"/>
    <x v="0"/>
    <n v="7847"/>
    <s v="Medium"/>
    <s v="Low Risk"/>
  </r>
  <r>
    <x v="536"/>
    <x v="0"/>
    <s v="Yes"/>
    <x v="0"/>
    <x v="1"/>
    <s v="Yes"/>
    <n v="15743"/>
    <n v="4618"/>
    <n v="681"/>
    <n v="300"/>
    <x v="0"/>
    <x v="2"/>
    <x v="0"/>
    <n v="20361"/>
    <s v="High"/>
    <s v="Low Risk"/>
  </r>
  <r>
    <x v="537"/>
    <x v="0"/>
    <s v="Yes"/>
    <x v="1"/>
    <x v="0"/>
    <s v="No"/>
    <n v="18372"/>
    <n v="0"/>
    <n v="290"/>
    <n v="300"/>
    <x v="0"/>
    <x v="1"/>
    <x v="0"/>
    <n v="18372"/>
    <s v="High"/>
    <s v="Low Risk"/>
  </r>
  <r>
    <x v="538"/>
    <x v="1"/>
    <s v="Yes"/>
    <x v="0"/>
    <x v="0"/>
    <s v="Yes"/>
    <n v="12186"/>
    <n v="0"/>
    <n v="292"/>
    <n v="300"/>
    <x v="1"/>
    <x v="1"/>
    <x v="0"/>
    <n v="12186"/>
    <s v="High"/>
    <s v="High Risk"/>
  </r>
  <r>
    <x v="539"/>
    <x v="0"/>
    <s v="Yes"/>
    <x v="3"/>
    <x v="1"/>
    <s v="Yes"/>
    <n v="15782"/>
    <n v="0"/>
    <n v="674"/>
    <n v="300"/>
    <x v="0"/>
    <x v="1"/>
    <x v="0"/>
    <n v="15782"/>
    <s v="High"/>
    <s v="Low Risk"/>
  </r>
  <r>
    <x v="540"/>
    <x v="0"/>
    <s v="No"/>
    <x v="1"/>
    <x v="1"/>
    <s v="No"/>
    <n v="8126"/>
    <n v="0"/>
    <n v="82"/>
    <n v="360"/>
    <x v="0"/>
    <x v="0"/>
    <x v="0"/>
    <n v="8126"/>
    <s v="Medium"/>
    <s v="Low Risk"/>
  </r>
  <r>
    <x v="541"/>
    <x v="0"/>
    <s v="No"/>
    <x v="3"/>
    <x v="1"/>
    <s v="Yes"/>
    <n v="12758"/>
    <n v="4102"/>
    <n v="668"/>
    <n v="180"/>
    <x v="1"/>
    <x v="2"/>
    <x v="0"/>
    <n v="16860"/>
    <s v="High"/>
    <s v="High Risk"/>
  </r>
  <r>
    <x v="542"/>
    <x v="0"/>
    <s v="Yes"/>
    <x v="2"/>
    <x v="1"/>
    <s v="No"/>
    <n v="8592"/>
    <n v="10192"/>
    <n v="523"/>
    <n v="240"/>
    <x v="0"/>
    <x v="1"/>
    <x v="0"/>
    <n v="18784"/>
    <s v="High"/>
    <s v="Low Risk"/>
  </r>
  <r>
    <x v="543"/>
    <x v="0"/>
    <s v="Yes"/>
    <x v="0"/>
    <x v="1"/>
    <s v="Yes"/>
    <n v="20891"/>
    <n v="0"/>
    <n v="477"/>
    <n v="120"/>
    <x v="0"/>
    <x v="1"/>
    <x v="0"/>
    <n v="20891"/>
    <s v="High"/>
    <s v="Low Risk"/>
  </r>
  <r>
    <x v="544"/>
    <x v="0"/>
    <s v="No"/>
    <x v="3"/>
    <x v="1"/>
    <s v="Yes"/>
    <n v="16325"/>
    <n v="0"/>
    <n v="135"/>
    <n v="360"/>
    <x v="0"/>
    <x v="2"/>
    <x v="0"/>
    <n v="16325"/>
    <s v="High"/>
    <s v="Low Risk"/>
  </r>
  <r>
    <x v="545"/>
    <x v="1"/>
    <s v="Yes"/>
    <x v="1"/>
    <x v="1"/>
    <s v="No"/>
    <n v="9333"/>
    <n v="0"/>
    <n v="66"/>
    <n v="300"/>
    <x v="0"/>
    <x v="0"/>
    <x v="0"/>
    <n v="9333"/>
    <s v="Medium"/>
    <s v="Low Risk"/>
  </r>
  <r>
    <x v="546"/>
    <x v="1"/>
    <s v="Yes"/>
    <x v="3"/>
    <x v="1"/>
    <s v="Yes"/>
    <n v="24540"/>
    <n v="0"/>
    <n v="429"/>
    <n v="300"/>
    <x v="0"/>
    <x v="0"/>
    <x v="0"/>
    <n v="24540"/>
    <s v="High"/>
    <s v="Low Risk"/>
  </r>
  <r>
    <x v="547"/>
    <x v="0"/>
    <s v="No"/>
    <x v="0"/>
    <x v="0"/>
    <s v="No"/>
    <n v="15455"/>
    <n v="12835"/>
    <n v="677"/>
    <n v="360"/>
    <x v="0"/>
    <x v="0"/>
    <x v="0"/>
    <n v="28290"/>
    <s v="High"/>
    <s v="Low Risk"/>
  </r>
  <r>
    <x v="548"/>
    <x v="0"/>
    <s v="No"/>
    <x v="2"/>
    <x v="1"/>
    <s v="Yes"/>
    <n v="5136"/>
    <n v="6774"/>
    <n v="526"/>
    <n v="360"/>
    <x v="0"/>
    <x v="1"/>
    <x v="0"/>
    <n v="11910"/>
    <s v="High"/>
    <s v="Low Risk"/>
  </r>
  <r>
    <x v="549"/>
    <x v="0"/>
    <s v="Yes"/>
    <x v="1"/>
    <x v="0"/>
    <s v="No"/>
    <n v="9319"/>
    <n v="0"/>
    <n v="539"/>
    <n v="360"/>
    <x v="1"/>
    <x v="2"/>
    <x v="0"/>
    <n v="9319"/>
    <s v="Medium"/>
    <s v="High Risk"/>
  </r>
  <r>
    <x v="550"/>
    <x v="0"/>
    <s v="Yes"/>
    <x v="0"/>
    <x v="1"/>
    <s v="No"/>
    <n v="18000"/>
    <n v="11644"/>
    <n v="333"/>
    <n v="120"/>
    <x v="0"/>
    <x v="1"/>
    <x v="0"/>
    <n v="29644"/>
    <s v="High"/>
    <s v="Low Risk"/>
  </r>
  <r>
    <x v="551"/>
    <x v="1"/>
    <s v="No"/>
    <x v="2"/>
    <x v="1"/>
    <s v="No"/>
    <n v="16310"/>
    <n v="10673"/>
    <n v="117"/>
    <n v="180"/>
    <x v="1"/>
    <x v="1"/>
    <x v="0"/>
    <n v="26983"/>
    <s v="High"/>
    <s v="High Risk"/>
  </r>
  <r>
    <x v="552"/>
    <x v="0"/>
    <s v="Yes"/>
    <x v="3"/>
    <x v="0"/>
    <s v="No"/>
    <n v="4021"/>
    <n v="0"/>
    <n v="332"/>
    <n v="120"/>
    <x v="0"/>
    <x v="1"/>
    <x v="0"/>
    <n v="4021"/>
    <s v="Low"/>
    <s v="Low Risk"/>
  </r>
  <r>
    <x v="553"/>
    <x v="0"/>
    <s v="Yes"/>
    <x v="2"/>
    <x v="1"/>
    <s v="No"/>
    <n v="23860"/>
    <n v="0"/>
    <n v="535"/>
    <n v="240"/>
    <x v="0"/>
    <x v="2"/>
    <x v="0"/>
    <n v="23860"/>
    <s v="High"/>
    <s v="Low Risk"/>
  </r>
  <r>
    <x v="554"/>
    <x v="0"/>
    <s v="No"/>
    <x v="1"/>
    <x v="0"/>
    <s v="Yes"/>
    <n v="9112"/>
    <n v="14179"/>
    <n v="471"/>
    <n v="360"/>
    <x v="0"/>
    <x v="2"/>
    <x v="0"/>
    <n v="23291"/>
    <s v="High"/>
    <s v="Low Risk"/>
  </r>
  <r>
    <x v="555"/>
    <x v="1"/>
    <s v="No"/>
    <x v="3"/>
    <x v="1"/>
    <s v="No"/>
    <n v="20087"/>
    <n v="2661"/>
    <n v="225"/>
    <n v="240"/>
    <x v="0"/>
    <x v="1"/>
    <x v="0"/>
    <n v="22748"/>
    <s v="High"/>
    <s v="Low Risk"/>
  </r>
  <r>
    <x v="556"/>
    <x v="1"/>
    <s v="Yes"/>
    <x v="1"/>
    <x v="1"/>
    <s v="No"/>
    <n v="16439"/>
    <n v="0"/>
    <n v="598"/>
    <n v="240"/>
    <x v="0"/>
    <x v="0"/>
    <x v="0"/>
    <n v="16439"/>
    <s v="High"/>
    <s v="Low Risk"/>
  </r>
  <r>
    <x v="557"/>
    <x v="0"/>
    <s v="Yes"/>
    <x v="1"/>
    <x v="0"/>
    <s v="Yes"/>
    <n v="11875"/>
    <n v="0"/>
    <n v="501"/>
    <n v="240"/>
    <x v="0"/>
    <x v="0"/>
    <x v="0"/>
    <n v="11875"/>
    <s v="High"/>
    <s v="Low Risk"/>
  </r>
  <r>
    <x v="558"/>
    <x v="0"/>
    <s v="No"/>
    <x v="0"/>
    <x v="0"/>
    <s v="No"/>
    <n v="16194"/>
    <n v="0"/>
    <n v="596"/>
    <n v="240"/>
    <x v="0"/>
    <x v="0"/>
    <x v="0"/>
    <n v="16194"/>
    <s v="High"/>
    <s v="Low Risk"/>
  </r>
  <r>
    <x v="559"/>
    <x v="1"/>
    <s v="No"/>
    <x v="1"/>
    <x v="1"/>
    <s v="No"/>
    <n v="6613"/>
    <n v="570"/>
    <n v="352"/>
    <n v="300"/>
    <x v="1"/>
    <x v="2"/>
    <x v="1"/>
    <n v="7183"/>
    <s v="Medium"/>
    <s v="High Risk"/>
  </r>
  <r>
    <x v="560"/>
    <x v="0"/>
    <s v="No"/>
    <x v="0"/>
    <x v="0"/>
    <s v="No"/>
    <n v="2813"/>
    <n v="0"/>
    <n v="365"/>
    <n v="120"/>
    <x v="0"/>
    <x v="0"/>
    <x v="1"/>
    <n v="2813"/>
    <s v="Low"/>
    <s v="Low Risk"/>
  </r>
  <r>
    <x v="561"/>
    <x v="1"/>
    <s v="No"/>
    <x v="2"/>
    <x v="1"/>
    <s v="Yes"/>
    <n v="21427"/>
    <n v="0"/>
    <n v="647"/>
    <n v="360"/>
    <x v="0"/>
    <x v="1"/>
    <x v="0"/>
    <n v="21427"/>
    <s v="High"/>
    <s v="Low Risk"/>
  </r>
  <r>
    <x v="562"/>
    <x v="0"/>
    <s v="Yes"/>
    <x v="2"/>
    <x v="1"/>
    <s v="Yes"/>
    <n v="18270"/>
    <n v="0"/>
    <n v="552"/>
    <n v="240"/>
    <x v="0"/>
    <x v="2"/>
    <x v="0"/>
    <n v="18270"/>
    <s v="High"/>
    <s v="Low Risk"/>
  </r>
  <r>
    <x v="563"/>
    <x v="0"/>
    <s v="No"/>
    <x v="3"/>
    <x v="0"/>
    <s v="No"/>
    <n v="13612"/>
    <n v="6826"/>
    <n v="62"/>
    <n v="240"/>
    <x v="0"/>
    <x v="1"/>
    <x v="0"/>
    <n v="20438"/>
    <s v="High"/>
    <s v="Low Risk"/>
  </r>
  <r>
    <x v="564"/>
    <x v="1"/>
    <s v="Yes"/>
    <x v="1"/>
    <x v="1"/>
    <s v="No"/>
    <n v="15999"/>
    <n v="0"/>
    <n v="484"/>
    <n v="300"/>
    <x v="0"/>
    <x v="2"/>
    <x v="0"/>
    <n v="15999"/>
    <s v="High"/>
    <s v="Low Risk"/>
  </r>
  <r>
    <x v="565"/>
    <x v="0"/>
    <s v="Yes"/>
    <x v="1"/>
    <x v="1"/>
    <s v="No"/>
    <n v="18713"/>
    <n v="0"/>
    <n v="654"/>
    <n v="300"/>
    <x v="0"/>
    <x v="1"/>
    <x v="0"/>
    <n v="18713"/>
    <s v="High"/>
    <s v="Low Risk"/>
  </r>
  <r>
    <x v="566"/>
    <x v="1"/>
    <s v="No"/>
    <x v="1"/>
    <x v="1"/>
    <s v="Yes"/>
    <n v="8029"/>
    <n v="3547"/>
    <n v="346"/>
    <n v="360"/>
    <x v="0"/>
    <x v="1"/>
    <x v="0"/>
    <n v="11576"/>
    <s v="High"/>
    <s v="Low Risk"/>
  </r>
  <r>
    <x v="567"/>
    <x v="1"/>
    <s v="No"/>
    <x v="3"/>
    <x v="0"/>
    <s v="Yes"/>
    <n v="1580"/>
    <n v="3023"/>
    <n v="357"/>
    <n v="300"/>
    <x v="0"/>
    <x v="2"/>
    <x v="0"/>
    <n v="4603"/>
    <s v="Low"/>
    <s v="Low Risk"/>
  </r>
  <r>
    <x v="568"/>
    <x v="1"/>
    <s v="No"/>
    <x v="1"/>
    <x v="1"/>
    <s v="Yes"/>
    <n v="2432"/>
    <n v="2455"/>
    <n v="554"/>
    <n v="120"/>
    <x v="0"/>
    <x v="1"/>
    <x v="1"/>
    <n v="4887"/>
    <s v="Low"/>
    <s v="Low Risk"/>
  </r>
  <r>
    <x v="569"/>
    <x v="1"/>
    <s v="No"/>
    <x v="0"/>
    <x v="1"/>
    <s v="Yes"/>
    <n v="13729"/>
    <n v="0"/>
    <n v="315"/>
    <n v="180"/>
    <x v="0"/>
    <x v="0"/>
    <x v="0"/>
    <n v="13729"/>
    <s v="High"/>
    <s v="Low Risk"/>
  </r>
  <r>
    <x v="570"/>
    <x v="1"/>
    <s v="No"/>
    <x v="1"/>
    <x v="1"/>
    <s v="Yes"/>
    <n v="3233"/>
    <n v="4967"/>
    <n v="479"/>
    <n v="240"/>
    <x v="0"/>
    <x v="1"/>
    <x v="0"/>
    <n v="8200"/>
    <s v="Medium"/>
    <s v="Low Risk"/>
  </r>
  <r>
    <x v="571"/>
    <x v="0"/>
    <s v="Yes"/>
    <x v="1"/>
    <x v="0"/>
    <s v="Yes"/>
    <n v="19316"/>
    <n v="5785"/>
    <n v="358"/>
    <n v="240"/>
    <x v="0"/>
    <x v="2"/>
    <x v="0"/>
    <n v="25101"/>
    <s v="High"/>
    <s v="Low Risk"/>
  </r>
  <r>
    <x v="572"/>
    <x v="1"/>
    <s v="Yes"/>
    <x v="0"/>
    <x v="0"/>
    <s v="Yes"/>
    <n v="5987"/>
    <n v="8989"/>
    <n v="431"/>
    <n v="300"/>
    <x v="0"/>
    <x v="0"/>
    <x v="0"/>
    <n v="14976"/>
    <s v="High"/>
    <s v="Low Risk"/>
  </r>
  <r>
    <x v="573"/>
    <x v="0"/>
    <s v="Yes"/>
    <x v="1"/>
    <x v="0"/>
    <s v="Yes"/>
    <n v="19806"/>
    <n v="0"/>
    <n v="477"/>
    <n v="300"/>
    <x v="1"/>
    <x v="0"/>
    <x v="0"/>
    <n v="19806"/>
    <s v="High"/>
    <s v="High Risk"/>
  </r>
  <r>
    <x v="574"/>
    <x v="0"/>
    <s v="Yes"/>
    <x v="3"/>
    <x v="1"/>
    <s v="No"/>
    <n v="24144"/>
    <n v="0"/>
    <n v="502"/>
    <n v="360"/>
    <x v="0"/>
    <x v="1"/>
    <x v="0"/>
    <n v="24144"/>
    <s v="High"/>
    <s v="Low Risk"/>
  </r>
  <r>
    <x v="575"/>
    <x v="0"/>
    <s v="No"/>
    <x v="2"/>
    <x v="0"/>
    <s v="Yes"/>
    <n v="5717"/>
    <n v="0"/>
    <n v="282"/>
    <n v="240"/>
    <x v="0"/>
    <x v="0"/>
    <x v="0"/>
    <n v="5717"/>
    <s v="Medium"/>
    <s v="Low Risk"/>
  </r>
  <r>
    <x v="576"/>
    <x v="0"/>
    <s v="No"/>
    <x v="2"/>
    <x v="0"/>
    <s v="Yes"/>
    <n v="17368"/>
    <n v="12908"/>
    <n v="93"/>
    <n v="180"/>
    <x v="0"/>
    <x v="2"/>
    <x v="0"/>
    <n v="30276"/>
    <s v="High"/>
    <s v="Low Risk"/>
  </r>
  <r>
    <x v="577"/>
    <x v="0"/>
    <s v="No"/>
    <x v="2"/>
    <x v="1"/>
    <s v="Yes"/>
    <n v="3670"/>
    <n v="0"/>
    <n v="148"/>
    <n v="120"/>
    <x v="1"/>
    <x v="0"/>
    <x v="1"/>
    <n v="3670"/>
    <s v="Low"/>
    <s v="High Risk"/>
  </r>
  <r>
    <x v="578"/>
    <x v="0"/>
    <s v="Yes"/>
    <x v="0"/>
    <x v="0"/>
    <s v="Yes"/>
    <n v="6269"/>
    <n v="14358"/>
    <n v="643"/>
    <n v="240"/>
    <x v="0"/>
    <x v="2"/>
    <x v="0"/>
    <n v="20627"/>
    <s v="High"/>
    <s v="Low Risk"/>
  </r>
  <r>
    <x v="579"/>
    <x v="0"/>
    <s v="Yes"/>
    <x v="2"/>
    <x v="0"/>
    <s v="Yes"/>
    <n v="24955"/>
    <n v="3638"/>
    <n v="225"/>
    <n v="360"/>
    <x v="0"/>
    <x v="2"/>
    <x v="0"/>
    <n v="28593"/>
    <s v="High"/>
    <s v="Low Risk"/>
  </r>
  <r>
    <x v="580"/>
    <x v="0"/>
    <s v="Yes"/>
    <x v="3"/>
    <x v="1"/>
    <s v="Yes"/>
    <n v="15906"/>
    <n v="0"/>
    <n v="235"/>
    <n v="240"/>
    <x v="1"/>
    <x v="1"/>
    <x v="0"/>
    <n v="15906"/>
    <s v="High"/>
    <s v="High Risk"/>
  </r>
  <r>
    <x v="581"/>
    <x v="0"/>
    <s v="Yes"/>
    <x v="3"/>
    <x v="0"/>
    <s v="No"/>
    <n v="5550"/>
    <n v="0"/>
    <n v="582"/>
    <n v="180"/>
    <x v="0"/>
    <x v="1"/>
    <x v="0"/>
    <n v="5550"/>
    <s v="Medium"/>
    <s v="Low Risk"/>
  </r>
  <r>
    <x v="582"/>
    <x v="1"/>
    <s v="Yes"/>
    <x v="2"/>
    <x v="1"/>
    <s v="No"/>
    <n v="5291"/>
    <n v="6804"/>
    <n v="517"/>
    <n v="360"/>
    <x v="0"/>
    <x v="2"/>
    <x v="0"/>
    <n v="12095"/>
    <s v="High"/>
    <s v="Low Risk"/>
  </r>
  <r>
    <x v="583"/>
    <x v="1"/>
    <s v="Yes"/>
    <x v="3"/>
    <x v="1"/>
    <s v="No"/>
    <n v="7686"/>
    <n v="0"/>
    <n v="537"/>
    <n v="240"/>
    <x v="0"/>
    <x v="2"/>
    <x v="0"/>
    <n v="7686"/>
    <s v="Medium"/>
    <s v="Low Risk"/>
  </r>
  <r>
    <x v="584"/>
    <x v="1"/>
    <s v="Yes"/>
    <x v="3"/>
    <x v="1"/>
    <s v="Yes"/>
    <n v="5406"/>
    <n v="2848"/>
    <n v="460"/>
    <n v="360"/>
    <x v="1"/>
    <x v="2"/>
    <x v="1"/>
    <n v="8254"/>
    <s v="Medium"/>
    <s v="High Risk"/>
  </r>
  <r>
    <x v="585"/>
    <x v="0"/>
    <s v="Yes"/>
    <x v="0"/>
    <x v="0"/>
    <s v="No"/>
    <n v="8062"/>
    <n v="10247"/>
    <n v="175"/>
    <n v="180"/>
    <x v="1"/>
    <x v="2"/>
    <x v="0"/>
    <n v="18309"/>
    <s v="High"/>
    <s v="High Risk"/>
  </r>
  <r>
    <x v="586"/>
    <x v="1"/>
    <s v="No"/>
    <x v="0"/>
    <x v="1"/>
    <s v="No"/>
    <n v="17091"/>
    <n v="11422"/>
    <n v="546"/>
    <n v="360"/>
    <x v="0"/>
    <x v="1"/>
    <x v="0"/>
    <n v="28513"/>
    <s v="High"/>
    <s v="Low Risk"/>
  </r>
  <r>
    <x v="587"/>
    <x v="0"/>
    <s v="Yes"/>
    <x v="0"/>
    <x v="1"/>
    <s v="No"/>
    <n v="9063"/>
    <n v="0"/>
    <n v="80"/>
    <n v="120"/>
    <x v="0"/>
    <x v="0"/>
    <x v="0"/>
    <n v="9063"/>
    <s v="Medium"/>
    <s v="Low Risk"/>
  </r>
  <r>
    <x v="588"/>
    <x v="1"/>
    <s v="Yes"/>
    <x v="1"/>
    <x v="1"/>
    <s v="No"/>
    <n v="6504"/>
    <n v="0"/>
    <n v="128"/>
    <n v="360"/>
    <x v="0"/>
    <x v="1"/>
    <x v="0"/>
    <n v="6504"/>
    <s v="Medium"/>
    <s v="Low Risk"/>
  </r>
  <r>
    <x v="589"/>
    <x v="0"/>
    <s v="No"/>
    <x v="3"/>
    <x v="1"/>
    <s v="No"/>
    <n v="19274"/>
    <n v="0"/>
    <n v="82"/>
    <n v="300"/>
    <x v="1"/>
    <x v="0"/>
    <x v="0"/>
    <n v="19274"/>
    <s v="High"/>
    <s v="High Risk"/>
  </r>
  <r>
    <x v="590"/>
    <x v="1"/>
    <s v="No"/>
    <x v="0"/>
    <x v="1"/>
    <s v="No"/>
    <n v="16562"/>
    <n v="0"/>
    <n v="231"/>
    <n v="360"/>
    <x v="0"/>
    <x v="1"/>
    <x v="0"/>
    <n v="16562"/>
    <s v="High"/>
    <s v="Low Risk"/>
  </r>
  <r>
    <x v="591"/>
    <x v="0"/>
    <s v="No"/>
    <x v="3"/>
    <x v="0"/>
    <s v="No"/>
    <n v="24952"/>
    <n v="6874"/>
    <n v="162"/>
    <n v="360"/>
    <x v="0"/>
    <x v="2"/>
    <x v="0"/>
    <n v="31826"/>
    <s v="High"/>
    <s v="Low Risk"/>
  </r>
  <r>
    <x v="592"/>
    <x v="1"/>
    <s v="No"/>
    <x v="1"/>
    <x v="0"/>
    <s v="No"/>
    <n v="10130"/>
    <n v="8605"/>
    <n v="681"/>
    <n v="240"/>
    <x v="0"/>
    <x v="1"/>
    <x v="0"/>
    <n v="18735"/>
    <s v="High"/>
    <s v="Low Risk"/>
  </r>
  <r>
    <x v="593"/>
    <x v="1"/>
    <s v="Yes"/>
    <x v="2"/>
    <x v="0"/>
    <s v="Yes"/>
    <n v="13506"/>
    <n v="0"/>
    <n v="690"/>
    <n v="240"/>
    <x v="0"/>
    <x v="1"/>
    <x v="0"/>
    <n v="13506"/>
    <s v="High"/>
    <s v="Low Risk"/>
  </r>
  <r>
    <x v="594"/>
    <x v="1"/>
    <s v="No"/>
    <x v="3"/>
    <x v="1"/>
    <s v="Yes"/>
    <n v="23167"/>
    <n v="0"/>
    <n v="290"/>
    <n v="240"/>
    <x v="0"/>
    <x v="2"/>
    <x v="0"/>
    <n v="23167"/>
    <s v="High"/>
    <s v="Low Risk"/>
  </r>
  <r>
    <x v="595"/>
    <x v="0"/>
    <s v="No"/>
    <x v="2"/>
    <x v="1"/>
    <s v="Yes"/>
    <n v="2145"/>
    <n v="9321"/>
    <n v="88"/>
    <n v="300"/>
    <x v="0"/>
    <x v="1"/>
    <x v="0"/>
    <n v="11466"/>
    <s v="High"/>
    <s v="Low Risk"/>
  </r>
  <r>
    <x v="596"/>
    <x v="1"/>
    <s v="No"/>
    <x v="2"/>
    <x v="1"/>
    <s v="Yes"/>
    <n v="11871"/>
    <n v="6688"/>
    <n v="380"/>
    <n v="360"/>
    <x v="0"/>
    <x v="1"/>
    <x v="0"/>
    <n v="18559"/>
    <s v="High"/>
    <s v="Low Risk"/>
  </r>
  <r>
    <x v="597"/>
    <x v="0"/>
    <s v="Yes"/>
    <x v="0"/>
    <x v="1"/>
    <s v="No"/>
    <n v="6960"/>
    <n v="10573"/>
    <n v="422"/>
    <n v="300"/>
    <x v="0"/>
    <x v="2"/>
    <x v="0"/>
    <n v="17533"/>
    <s v="High"/>
    <s v="Low Risk"/>
  </r>
  <r>
    <x v="598"/>
    <x v="0"/>
    <s v="Yes"/>
    <x v="0"/>
    <x v="1"/>
    <s v="Yes"/>
    <n v="11242"/>
    <n v="9896"/>
    <n v="281"/>
    <n v="360"/>
    <x v="0"/>
    <x v="0"/>
    <x v="0"/>
    <n v="21138"/>
    <s v="High"/>
    <s v="Low Risk"/>
  </r>
  <r>
    <x v="599"/>
    <x v="0"/>
    <s v="No"/>
    <x v="0"/>
    <x v="0"/>
    <s v="No"/>
    <n v="15495"/>
    <n v="3936"/>
    <n v="128"/>
    <n v="240"/>
    <x v="0"/>
    <x v="1"/>
    <x v="0"/>
    <n v="19431"/>
    <s v="High"/>
    <s v="Low Risk"/>
  </r>
  <r>
    <x v="600"/>
    <x v="1"/>
    <s v="No"/>
    <x v="1"/>
    <x v="1"/>
    <s v="No"/>
    <n v="9733"/>
    <n v="10739"/>
    <n v="610"/>
    <n v="180"/>
    <x v="1"/>
    <x v="2"/>
    <x v="0"/>
    <n v="20472"/>
    <s v="High"/>
    <s v="High Risk"/>
  </r>
  <r>
    <x v="601"/>
    <x v="0"/>
    <s v="No"/>
    <x v="1"/>
    <x v="1"/>
    <s v="No"/>
    <n v="22403"/>
    <n v="9228"/>
    <n v="629"/>
    <n v="120"/>
    <x v="0"/>
    <x v="1"/>
    <x v="0"/>
    <n v="31631"/>
    <s v="High"/>
    <s v="Low Risk"/>
  </r>
  <r>
    <x v="602"/>
    <x v="1"/>
    <s v="Yes"/>
    <x v="1"/>
    <x v="0"/>
    <s v="No"/>
    <n v="15766"/>
    <n v="7221"/>
    <n v="115"/>
    <n v="180"/>
    <x v="1"/>
    <x v="1"/>
    <x v="0"/>
    <n v="22987"/>
    <s v="High"/>
    <s v="High Risk"/>
  </r>
  <r>
    <x v="603"/>
    <x v="1"/>
    <s v="Yes"/>
    <x v="0"/>
    <x v="0"/>
    <s v="No"/>
    <n v="9314"/>
    <n v="0"/>
    <n v="246"/>
    <n v="120"/>
    <x v="0"/>
    <x v="1"/>
    <x v="0"/>
    <n v="9314"/>
    <s v="Medium"/>
    <s v="Low Risk"/>
  </r>
  <r>
    <x v="604"/>
    <x v="1"/>
    <s v="No"/>
    <x v="3"/>
    <x v="1"/>
    <s v="Yes"/>
    <n v="8118"/>
    <n v="3110"/>
    <n v="189"/>
    <n v="120"/>
    <x v="0"/>
    <x v="1"/>
    <x v="0"/>
    <n v="11228"/>
    <s v="High"/>
    <s v="Low Risk"/>
  </r>
  <r>
    <x v="605"/>
    <x v="0"/>
    <s v="Yes"/>
    <x v="3"/>
    <x v="0"/>
    <s v="Yes"/>
    <n v="4250"/>
    <n v="5643"/>
    <n v="115"/>
    <n v="300"/>
    <x v="1"/>
    <x v="2"/>
    <x v="0"/>
    <n v="9893"/>
    <s v="Medium"/>
    <s v="High Risk"/>
  </r>
  <r>
    <x v="606"/>
    <x v="0"/>
    <s v="No"/>
    <x v="1"/>
    <x v="0"/>
    <s v="Yes"/>
    <n v="20209"/>
    <n v="0"/>
    <n v="584"/>
    <n v="360"/>
    <x v="1"/>
    <x v="2"/>
    <x v="0"/>
    <n v="20209"/>
    <s v="High"/>
    <s v="High Risk"/>
  </r>
  <r>
    <x v="607"/>
    <x v="1"/>
    <s v="No"/>
    <x v="2"/>
    <x v="0"/>
    <s v="Yes"/>
    <n v="11769"/>
    <n v="5895"/>
    <n v="291"/>
    <n v="300"/>
    <x v="0"/>
    <x v="0"/>
    <x v="0"/>
    <n v="17664"/>
    <s v="High"/>
    <s v="Low Risk"/>
  </r>
  <r>
    <x v="608"/>
    <x v="0"/>
    <s v="Yes"/>
    <x v="0"/>
    <x v="1"/>
    <s v="No"/>
    <n v="9833"/>
    <n v="0"/>
    <n v="552"/>
    <n v="360"/>
    <x v="0"/>
    <x v="0"/>
    <x v="0"/>
    <n v="9833"/>
    <s v="Medium"/>
    <s v="Low Risk"/>
  </r>
  <r>
    <x v="609"/>
    <x v="1"/>
    <s v="No"/>
    <x v="3"/>
    <x v="0"/>
    <s v="No"/>
    <n v="6248"/>
    <n v="6447"/>
    <n v="426"/>
    <n v="240"/>
    <x v="0"/>
    <x v="2"/>
    <x v="0"/>
    <n v="12695"/>
    <s v="High"/>
    <s v="Low Risk"/>
  </r>
  <r>
    <x v="610"/>
    <x v="0"/>
    <s v="Yes"/>
    <x v="1"/>
    <x v="1"/>
    <s v="No"/>
    <n v="11634"/>
    <n v="10968"/>
    <n v="174"/>
    <n v="360"/>
    <x v="1"/>
    <x v="1"/>
    <x v="0"/>
    <n v="22602"/>
    <s v="High"/>
    <s v="High Risk"/>
  </r>
  <r>
    <x v="611"/>
    <x v="1"/>
    <s v="Yes"/>
    <x v="3"/>
    <x v="1"/>
    <s v="No"/>
    <n v="4457"/>
    <n v="0"/>
    <n v="354"/>
    <n v="180"/>
    <x v="1"/>
    <x v="0"/>
    <x v="1"/>
    <n v="4457"/>
    <s v="Low"/>
    <s v="High Risk"/>
  </r>
  <r>
    <x v="612"/>
    <x v="1"/>
    <s v="No"/>
    <x v="3"/>
    <x v="0"/>
    <s v="No"/>
    <n v="4124"/>
    <n v="13987"/>
    <n v="532"/>
    <n v="300"/>
    <x v="1"/>
    <x v="1"/>
    <x v="0"/>
    <n v="18111"/>
    <s v="High"/>
    <s v="High Risk"/>
  </r>
  <r>
    <x v="613"/>
    <x v="1"/>
    <s v="Yes"/>
    <x v="1"/>
    <x v="1"/>
    <s v="Yes"/>
    <n v="13029"/>
    <n v="7395"/>
    <n v="514"/>
    <n v="120"/>
    <x v="0"/>
    <x v="2"/>
    <x v="0"/>
    <n v="20424"/>
    <s v="High"/>
    <s v="Low Risk"/>
  </r>
  <r>
    <x v="614"/>
    <x v="0"/>
    <s v="No"/>
    <x v="1"/>
    <x v="0"/>
    <s v="No"/>
    <n v="8056"/>
    <n v="10794"/>
    <n v="371"/>
    <n v="360"/>
    <x v="0"/>
    <x v="0"/>
    <x v="0"/>
    <n v="18850"/>
    <s v="High"/>
    <s v="Low Risk"/>
  </r>
  <r>
    <x v="615"/>
    <x v="0"/>
    <s v="Yes"/>
    <x v="3"/>
    <x v="1"/>
    <s v="No"/>
    <n v="17175"/>
    <n v="0"/>
    <n v="316"/>
    <n v="180"/>
    <x v="0"/>
    <x v="1"/>
    <x v="0"/>
    <n v="17175"/>
    <s v="High"/>
    <s v="Low Risk"/>
  </r>
  <r>
    <x v="616"/>
    <x v="1"/>
    <s v="Yes"/>
    <x v="2"/>
    <x v="1"/>
    <s v="No"/>
    <n v="7460"/>
    <n v="6947"/>
    <n v="634"/>
    <n v="180"/>
    <x v="0"/>
    <x v="0"/>
    <x v="0"/>
    <n v="14407"/>
    <s v="High"/>
    <s v="Low Risk"/>
  </r>
  <r>
    <x v="617"/>
    <x v="0"/>
    <s v="Yes"/>
    <x v="3"/>
    <x v="0"/>
    <s v="No"/>
    <n v="24478"/>
    <n v="0"/>
    <n v="100"/>
    <n v="300"/>
    <x v="0"/>
    <x v="2"/>
    <x v="0"/>
    <n v="24478"/>
    <s v="High"/>
    <s v="Low Risk"/>
  </r>
  <r>
    <x v="618"/>
    <x v="1"/>
    <s v="Yes"/>
    <x v="2"/>
    <x v="1"/>
    <s v="Yes"/>
    <n v="20087"/>
    <n v="0"/>
    <n v="588"/>
    <n v="300"/>
    <x v="0"/>
    <x v="1"/>
    <x v="0"/>
    <n v="20087"/>
    <s v="High"/>
    <s v="Low Risk"/>
  </r>
  <r>
    <x v="619"/>
    <x v="1"/>
    <s v="Yes"/>
    <x v="1"/>
    <x v="0"/>
    <s v="Yes"/>
    <n v="10222"/>
    <n v="5217"/>
    <n v="441"/>
    <n v="180"/>
    <x v="0"/>
    <x v="0"/>
    <x v="0"/>
    <n v="15439"/>
    <s v="High"/>
    <s v="Low Risk"/>
  </r>
  <r>
    <x v="620"/>
    <x v="0"/>
    <s v="No"/>
    <x v="1"/>
    <x v="1"/>
    <s v="Yes"/>
    <n v="14886"/>
    <n v="0"/>
    <n v="79"/>
    <n v="240"/>
    <x v="1"/>
    <x v="0"/>
    <x v="0"/>
    <n v="14886"/>
    <s v="High"/>
    <s v="High Risk"/>
  </r>
  <r>
    <x v="621"/>
    <x v="1"/>
    <s v="Yes"/>
    <x v="0"/>
    <x v="1"/>
    <s v="Yes"/>
    <n v="1838"/>
    <n v="0"/>
    <n v="381"/>
    <n v="300"/>
    <x v="0"/>
    <x v="2"/>
    <x v="1"/>
    <n v="1838"/>
    <s v="Low"/>
    <s v="Low Risk"/>
  </r>
  <r>
    <x v="622"/>
    <x v="1"/>
    <s v="No"/>
    <x v="0"/>
    <x v="0"/>
    <s v="Yes"/>
    <n v="19751"/>
    <n v="0"/>
    <n v="390"/>
    <n v="180"/>
    <x v="0"/>
    <x v="1"/>
    <x v="0"/>
    <n v="19751"/>
    <s v="High"/>
    <s v="Low Risk"/>
  </r>
  <r>
    <x v="623"/>
    <x v="0"/>
    <s v="Yes"/>
    <x v="0"/>
    <x v="1"/>
    <s v="No"/>
    <n v="14433"/>
    <n v="11497"/>
    <n v="185"/>
    <n v="360"/>
    <x v="0"/>
    <x v="0"/>
    <x v="0"/>
    <n v="25930"/>
    <s v="High"/>
    <s v="Low Risk"/>
  </r>
  <r>
    <x v="624"/>
    <x v="1"/>
    <s v="Yes"/>
    <x v="3"/>
    <x v="1"/>
    <s v="No"/>
    <n v="5822"/>
    <n v="1968"/>
    <n v="593"/>
    <n v="300"/>
    <x v="0"/>
    <x v="0"/>
    <x v="0"/>
    <n v="7790"/>
    <s v="Medium"/>
    <s v="Low Risk"/>
  </r>
  <r>
    <x v="625"/>
    <x v="1"/>
    <s v="Yes"/>
    <x v="1"/>
    <x v="1"/>
    <s v="No"/>
    <n v="13315"/>
    <n v="7546"/>
    <n v="319"/>
    <n v="360"/>
    <x v="1"/>
    <x v="1"/>
    <x v="0"/>
    <n v="20861"/>
    <s v="High"/>
    <s v="High Risk"/>
  </r>
  <r>
    <x v="626"/>
    <x v="1"/>
    <s v="No"/>
    <x v="1"/>
    <x v="1"/>
    <s v="No"/>
    <n v="6456"/>
    <n v="9604"/>
    <n v="104"/>
    <n v="180"/>
    <x v="0"/>
    <x v="0"/>
    <x v="0"/>
    <n v="16060"/>
    <s v="High"/>
    <s v="Low Risk"/>
  </r>
  <r>
    <x v="627"/>
    <x v="0"/>
    <s v="Yes"/>
    <x v="3"/>
    <x v="1"/>
    <s v="Yes"/>
    <n v="24632"/>
    <n v="8153"/>
    <n v="168"/>
    <n v="300"/>
    <x v="0"/>
    <x v="1"/>
    <x v="0"/>
    <n v="32785"/>
    <s v="High"/>
    <s v="Low Risk"/>
  </r>
  <r>
    <x v="628"/>
    <x v="1"/>
    <s v="No"/>
    <x v="3"/>
    <x v="0"/>
    <s v="Yes"/>
    <n v="5551"/>
    <n v="0"/>
    <n v="258"/>
    <n v="240"/>
    <x v="0"/>
    <x v="0"/>
    <x v="0"/>
    <n v="5551"/>
    <s v="Medium"/>
    <s v="Low Risk"/>
  </r>
  <r>
    <x v="629"/>
    <x v="1"/>
    <s v="Yes"/>
    <x v="2"/>
    <x v="0"/>
    <s v="No"/>
    <n v="4017"/>
    <n v="4533"/>
    <n v="146"/>
    <n v="240"/>
    <x v="0"/>
    <x v="2"/>
    <x v="0"/>
    <n v="8550"/>
    <s v="Medium"/>
    <s v="Low Risk"/>
  </r>
  <r>
    <x v="630"/>
    <x v="0"/>
    <s v="No"/>
    <x v="0"/>
    <x v="0"/>
    <s v="No"/>
    <n v="6538"/>
    <n v="0"/>
    <n v="521"/>
    <n v="300"/>
    <x v="0"/>
    <x v="1"/>
    <x v="0"/>
    <n v="6538"/>
    <s v="Medium"/>
    <s v="Low Risk"/>
  </r>
  <r>
    <x v="631"/>
    <x v="0"/>
    <s v="No"/>
    <x v="2"/>
    <x v="1"/>
    <s v="No"/>
    <n v="20150"/>
    <n v="0"/>
    <n v="99"/>
    <n v="240"/>
    <x v="0"/>
    <x v="0"/>
    <x v="0"/>
    <n v="20150"/>
    <s v="High"/>
    <s v="Low Risk"/>
  </r>
  <r>
    <x v="632"/>
    <x v="0"/>
    <s v="No"/>
    <x v="2"/>
    <x v="1"/>
    <s v="No"/>
    <n v="7333"/>
    <n v="4433"/>
    <n v="141"/>
    <n v="120"/>
    <x v="1"/>
    <x v="0"/>
    <x v="0"/>
    <n v="11766"/>
    <s v="High"/>
    <s v="High Risk"/>
  </r>
  <r>
    <x v="633"/>
    <x v="1"/>
    <s v="No"/>
    <x v="0"/>
    <x v="0"/>
    <s v="Yes"/>
    <n v="11282"/>
    <n v="8542"/>
    <n v="367"/>
    <n v="360"/>
    <x v="0"/>
    <x v="2"/>
    <x v="0"/>
    <n v="19824"/>
    <s v="High"/>
    <s v="Low Risk"/>
  </r>
  <r>
    <x v="634"/>
    <x v="0"/>
    <s v="No"/>
    <x v="1"/>
    <x v="1"/>
    <s v="No"/>
    <n v="14216"/>
    <n v="8305"/>
    <n v="626"/>
    <n v="360"/>
    <x v="0"/>
    <x v="1"/>
    <x v="0"/>
    <n v="22521"/>
    <s v="High"/>
    <s v="Low Risk"/>
  </r>
  <r>
    <x v="635"/>
    <x v="1"/>
    <s v="Yes"/>
    <x v="3"/>
    <x v="1"/>
    <s v="Yes"/>
    <n v="2825"/>
    <n v="8910"/>
    <n v="524"/>
    <n v="180"/>
    <x v="0"/>
    <x v="2"/>
    <x v="0"/>
    <n v="11735"/>
    <s v="High"/>
    <s v="Low Risk"/>
  </r>
  <r>
    <x v="636"/>
    <x v="0"/>
    <s v="No"/>
    <x v="2"/>
    <x v="1"/>
    <s v="No"/>
    <n v="15831"/>
    <n v="1797"/>
    <n v="357"/>
    <n v="180"/>
    <x v="1"/>
    <x v="2"/>
    <x v="0"/>
    <n v="17628"/>
    <s v="High"/>
    <s v="High Risk"/>
  </r>
  <r>
    <x v="637"/>
    <x v="1"/>
    <s v="Yes"/>
    <x v="3"/>
    <x v="1"/>
    <s v="Yes"/>
    <n v="19554"/>
    <n v="0"/>
    <n v="575"/>
    <n v="120"/>
    <x v="0"/>
    <x v="1"/>
    <x v="0"/>
    <n v="19554"/>
    <s v="High"/>
    <s v="Low Risk"/>
  </r>
  <r>
    <x v="638"/>
    <x v="0"/>
    <s v="No"/>
    <x v="0"/>
    <x v="1"/>
    <s v="No"/>
    <n v="20687"/>
    <n v="0"/>
    <n v="166"/>
    <n v="300"/>
    <x v="0"/>
    <x v="0"/>
    <x v="0"/>
    <n v="20687"/>
    <s v="High"/>
    <s v="Low Risk"/>
  </r>
  <r>
    <x v="639"/>
    <x v="1"/>
    <s v="Yes"/>
    <x v="2"/>
    <x v="1"/>
    <s v="No"/>
    <n v="11787"/>
    <n v="10120"/>
    <n v="510"/>
    <n v="360"/>
    <x v="1"/>
    <x v="1"/>
    <x v="0"/>
    <n v="21907"/>
    <s v="High"/>
    <s v="High Risk"/>
  </r>
  <r>
    <x v="640"/>
    <x v="0"/>
    <s v="Yes"/>
    <x v="1"/>
    <x v="0"/>
    <s v="No"/>
    <n v="23566"/>
    <n v="2242"/>
    <n v="597"/>
    <n v="120"/>
    <x v="0"/>
    <x v="0"/>
    <x v="0"/>
    <n v="25808"/>
    <s v="High"/>
    <s v="Low Risk"/>
  </r>
  <r>
    <x v="641"/>
    <x v="0"/>
    <s v="Yes"/>
    <x v="3"/>
    <x v="1"/>
    <s v="No"/>
    <n v="23052"/>
    <n v="12693"/>
    <n v="360"/>
    <n v="360"/>
    <x v="1"/>
    <x v="2"/>
    <x v="0"/>
    <n v="35745"/>
    <s v="High"/>
    <s v="High Risk"/>
  </r>
  <r>
    <x v="642"/>
    <x v="1"/>
    <s v="No"/>
    <x v="0"/>
    <x v="0"/>
    <s v="Yes"/>
    <n v="5927"/>
    <n v="0"/>
    <n v="164"/>
    <n v="120"/>
    <x v="0"/>
    <x v="0"/>
    <x v="0"/>
    <n v="5927"/>
    <s v="Medium"/>
    <s v="Low Risk"/>
  </r>
  <r>
    <x v="643"/>
    <x v="0"/>
    <s v="Yes"/>
    <x v="3"/>
    <x v="0"/>
    <s v="Yes"/>
    <n v="15779"/>
    <n v="0"/>
    <n v="138"/>
    <n v="240"/>
    <x v="0"/>
    <x v="0"/>
    <x v="0"/>
    <n v="15779"/>
    <s v="High"/>
    <s v="Low Risk"/>
  </r>
  <r>
    <x v="644"/>
    <x v="1"/>
    <s v="No"/>
    <x v="2"/>
    <x v="0"/>
    <s v="Yes"/>
    <n v="6494"/>
    <n v="12604"/>
    <n v="546"/>
    <n v="300"/>
    <x v="0"/>
    <x v="1"/>
    <x v="0"/>
    <n v="19098"/>
    <s v="High"/>
    <s v="Low Risk"/>
  </r>
  <r>
    <x v="645"/>
    <x v="0"/>
    <s v="Yes"/>
    <x v="0"/>
    <x v="1"/>
    <s v="Yes"/>
    <n v="12439"/>
    <n v="0"/>
    <n v="695"/>
    <n v="300"/>
    <x v="1"/>
    <x v="1"/>
    <x v="0"/>
    <n v="12439"/>
    <s v="High"/>
    <s v="High Risk"/>
  </r>
  <r>
    <x v="646"/>
    <x v="1"/>
    <s v="Yes"/>
    <x v="3"/>
    <x v="1"/>
    <s v="No"/>
    <n v="18321"/>
    <n v="10183"/>
    <n v="287"/>
    <n v="120"/>
    <x v="0"/>
    <x v="1"/>
    <x v="0"/>
    <n v="28504"/>
    <s v="High"/>
    <s v="Low Risk"/>
  </r>
  <r>
    <x v="647"/>
    <x v="1"/>
    <s v="Yes"/>
    <x v="0"/>
    <x v="1"/>
    <s v="No"/>
    <n v="5331"/>
    <n v="8606"/>
    <n v="509"/>
    <n v="300"/>
    <x v="0"/>
    <x v="1"/>
    <x v="0"/>
    <n v="13937"/>
    <s v="High"/>
    <s v="Low Risk"/>
  </r>
  <r>
    <x v="648"/>
    <x v="0"/>
    <s v="No"/>
    <x v="0"/>
    <x v="1"/>
    <s v="Yes"/>
    <n v="18134"/>
    <n v="4099"/>
    <n v="666"/>
    <n v="300"/>
    <x v="0"/>
    <x v="1"/>
    <x v="0"/>
    <n v="22233"/>
    <s v="High"/>
    <s v="Low Risk"/>
  </r>
  <r>
    <x v="649"/>
    <x v="1"/>
    <s v="No"/>
    <x v="0"/>
    <x v="1"/>
    <s v="Yes"/>
    <n v="21876"/>
    <n v="3894"/>
    <n v="138"/>
    <n v="300"/>
    <x v="0"/>
    <x v="0"/>
    <x v="0"/>
    <n v="25770"/>
    <s v="High"/>
    <s v="Low Risk"/>
  </r>
  <r>
    <x v="650"/>
    <x v="0"/>
    <s v="No"/>
    <x v="2"/>
    <x v="1"/>
    <s v="No"/>
    <n v="11450"/>
    <n v="0"/>
    <n v="620"/>
    <n v="120"/>
    <x v="1"/>
    <x v="1"/>
    <x v="0"/>
    <n v="11450"/>
    <s v="High"/>
    <s v="High Risk"/>
  </r>
  <r>
    <x v="651"/>
    <x v="1"/>
    <s v="No"/>
    <x v="1"/>
    <x v="0"/>
    <s v="Yes"/>
    <n v="3586"/>
    <n v="6033"/>
    <n v="166"/>
    <n v="360"/>
    <x v="0"/>
    <x v="2"/>
    <x v="0"/>
    <n v="9619"/>
    <s v="Medium"/>
    <s v="Low Risk"/>
  </r>
  <r>
    <x v="652"/>
    <x v="0"/>
    <s v="No"/>
    <x v="0"/>
    <x v="1"/>
    <s v="No"/>
    <n v="3029"/>
    <n v="13117"/>
    <n v="204"/>
    <n v="360"/>
    <x v="0"/>
    <x v="0"/>
    <x v="0"/>
    <n v="16146"/>
    <s v="High"/>
    <s v="Low Risk"/>
  </r>
  <r>
    <x v="653"/>
    <x v="0"/>
    <s v="No"/>
    <x v="3"/>
    <x v="0"/>
    <s v="Yes"/>
    <n v="21507"/>
    <n v="0"/>
    <n v="625"/>
    <n v="120"/>
    <x v="0"/>
    <x v="0"/>
    <x v="0"/>
    <n v="21507"/>
    <s v="High"/>
    <s v="Low Risk"/>
  </r>
  <r>
    <x v="654"/>
    <x v="0"/>
    <s v="Yes"/>
    <x v="0"/>
    <x v="0"/>
    <s v="No"/>
    <n v="24705"/>
    <n v="7733"/>
    <n v="151"/>
    <n v="180"/>
    <x v="0"/>
    <x v="1"/>
    <x v="0"/>
    <n v="32438"/>
    <s v="High"/>
    <s v="Low Risk"/>
  </r>
  <r>
    <x v="655"/>
    <x v="0"/>
    <s v="Yes"/>
    <x v="1"/>
    <x v="1"/>
    <s v="No"/>
    <n v="1715"/>
    <n v="4519"/>
    <n v="399"/>
    <n v="240"/>
    <x v="0"/>
    <x v="0"/>
    <x v="0"/>
    <n v="6234"/>
    <s v="Medium"/>
    <s v="Low Risk"/>
  </r>
  <r>
    <x v="656"/>
    <x v="1"/>
    <s v="No"/>
    <x v="3"/>
    <x v="1"/>
    <s v="Yes"/>
    <n v="6467"/>
    <n v="12840"/>
    <n v="283"/>
    <n v="180"/>
    <x v="1"/>
    <x v="1"/>
    <x v="0"/>
    <n v="19307"/>
    <s v="High"/>
    <s v="High Risk"/>
  </r>
  <r>
    <x v="657"/>
    <x v="1"/>
    <s v="No"/>
    <x v="0"/>
    <x v="0"/>
    <s v="No"/>
    <n v="6270"/>
    <n v="0"/>
    <n v="579"/>
    <n v="120"/>
    <x v="0"/>
    <x v="1"/>
    <x v="0"/>
    <n v="6270"/>
    <s v="Medium"/>
    <s v="Low Risk"/>
  </r>
  <r>
    <x v="658"/>
    <x v="1"/>
    <s v="Yes"/>
    <x v="3"/>
    <x v="0"/>
    <s v="No"/>
    <n v="2715"/>
    <n v="0"/>
    <n v="638"/>
    <n v="120"/>
    <x v="1"/>
    <x v="2"/>
    <x v="1"/>
    <n v="2715"/>
    <s v="Low"/>
    <s v="High Risk"/>
  </r>
  <r>
    <x v="659"/>
    <x v="1"/>
    <s v="No"/>
    <x v="3"/>
    <x v="1"/>
    <s v="No"/>
    <n v="12777"/>
    <n v="629"/>
    <n v="590"/>
    <n v="360"/>
    <x v="1"/>
    <x v="2"/>
    <x v="0"/>
    <n v="13406"/>
    <s v="High"/>
    <s v="High Risk"/>
  </r>
  <r>
    <x v="660"/>
    <x v="1"/>
    <s v="No"/>
    <x v="1"/>
    <x v="1"/>
    <s v="No"/>
    <n v="22758"/>
    <n v="0"/>
    <n v="358"/>
    <n v="120"/>
    <x v="0"/>
    <x v="1"/>
    <x v="0"/>
    <n v="22758"/>
    <s v="High"/>
    <s v="Low Risk"/>
  </r>
  <r>
    <x v="661"/>
    <x v="1"/>
    <s v="Yes"/>
    <x v="0"/>
    <x v="0"/>
    <s v="Yes"/>
    <n v="18266"/>
    <n v="9540"/>
    <n v="583"/>
    <n v="240"/>
    <x v="0"/>
    <x v="0"/>
    <x v="0"/>
    <n v="27806"/>
    <s v="High"/>
    <s v="Low Risk"/>
  </r>
  <r>
    <x v="662"/>
    <x v="0"/>
    <s v="Yes"/>
    <x v="0"/>
    <x v="0"/>
    <s v="No"/>
    <n v="15352"/>
    <n v="0"/>
    <n v="111"/>
    <n v="240"/>
    <x v="0"/>
    <x v="2"/>
    <x v="0"/>
    <n v="15352"/>
    <s v="High"/>
    <s v="Low Risk"/>
  </r>
  <r>
    <x v="663"/>
    <x v="1"/>
    <s v="Yes"/>
    <x v="2"/>
    <x v="0"/>
    <s v="No"/>
    <n v="11263"/>
    <n v="0"/>
    <n v="514"/>
    <n v="240"/>
    <x v="1"/>
    <x v="2"/>
    <x v="0"/>
    <n v="11263"/>
    <s v="High"/>
    <s v="High Risk"/>
  </r>
  <r>
    <x v="664"/>
    <x v="0"/>
    <s v="No"/>
    <x v="0"/>
    <x v="1"/>
    <s v="Yes"/>
    <n v="24907"/>
    <n v="0"/>
    <n v="157"/>
    <n v="240"/>
    <x v="0"/>
    <x v="0"/>
    <x v="0"/>
    <n v="24907"/>
    <s v="High"/>
    <s v="Low Risk"/>
  </r>
  <r>
    <x v="665"/>
    <x v="1"/>
    <s v="No"/>
    <x v="2"/>
    <x v="0"/>
    <s v="No"/>
    <n v="15002"/>
    <n v="0"/>
    <n v="113"/>
    <n v="300"/>
    <x v="1"/>
    <x v="1"/>
    <x v="0"/>
    <n v="15002"/>
    <s v="High"/>
    <s v="High Risk"/>
  </r>
  <r>
    <x v="666"/>
    <x v="0"/>
    <s v="No"/>
    <x v="2"/>
    <x v="1"/>
    <s v="No"/>
    <n v="20775"/>
    <n v="9658"/>
    <n v="320"/>
    <n v="360"/>
    <x v="0"/>
    <x v="1"/>
    <x v="0"/>
    <n v="30433"/>
    <s v="High"/>
    <s v="Low Risk"/>
  </r>
  <r>
    <x v="667"/>
    <x v="1"/>
    <s v="No"/>
    <x v="3"/>
    <x v="0"/>
    <s v="Yes"/>
    <n v="18073"/>
    <n v="2582"/>
    <n v="518"/>
    <n v="180"/>
    <x v="1"/>
    <x v="2"/>
    <x v="0"/>
    <n v="20655"/>
    <s v="High"/>
    <s v="High Risk"/>
  </r>
  <r>
    <x v="668"/>
    <x v="0"/>
    <s v="Yes"/>
    <x v="3"/>
    <x v="1"/>
    <s v="Yes"/>
    <n v="6639"/>
    <n v="9659"/>
    <n v="171"/>
    <n v="360"/>
    <x v="1"/>
    <x v="0"/>
    <x v="0"/>
    <n v="16298"/>
    <s v="High"/>
    <s v="High Risk"/>
  </r>
  <r>
    <x v="669"/>
    <x v="0"/>
    <s v="No"/>
    <x v="0"/>
    <x v="0"/>
    <s v="Yes"/>
    <n v="5358"/>
    <n v="6586"/>
    <n v="433"/>
    <n v="240"/>
    <x v="0"/>
    <x v="0"/>
    <x v="0"/>
    <n v="11944"/>
    <s v="High"/>
    <s v="Low Risk"/>
  </r>
  <r>
    <x v="670"/>
    <x v="0"/>
    <s v="Yes"/>
    <x v="3"/>
    <x v="0"/>
    <s v="No"/>
    <n v="10789"/>
    <n v="0"/>
    <n v="550"/>
    <n v="120"/>
    <x v="0"/>
    <x v="1"/>
    <x v="0"/>
    <n v="10789"/>
    <s v="High"/>
    <s v="Low Risk"/>
  </r>
  <r>
    <x v="671"/>
    <x v="0"/>
    <s v="Yes"/>
    <x v="3"/>
    <x v="1"/>
    <s v="No"/>
    <n v="20038"/>
    <n v="7911"/>
    <n v="436"/>
    <n v="300"/>
    <x v="1"/>
    <x v="2"/>
    <x v="0"/>
    <n v="27949"/>
    <s v="High"/>
    <s v="High Risk"/>
  </r>
  <r>
    <x v="672"/>
    <x v="0"/>
    <s v="Yes"/>
    <x v="3"/>
    <x v="1"/>
    <s v="No"/>
    <n v="6381"/>
    <n v="14694"/>
    <n v="141"/>
    <n v="360"/>
    <x v="0"/>
    <x v="1"/>
    <x v="0"/>
    <n v="21075"/>
    <s v="High"/>
    <s v="Low Risk"/>
  </r>
  <r>
    <x v="673"/>
    <x v="1"/>
    <s v="Yes"/>
    <x v="3"/>
    <x v="1"/>
    <s v="Yes"/>
    <n v="23469"/>
    <n v="7759"/>
    <n v="140"/>
    <n v="180"/>
    <x v="0"/>
    <x v="2"/>
    <x v="0"/>
    <n v="31228"/>
    <s v="High"/>
    <s v="Low Risk"/>
  </r>
  <r>
    <x v="674"/>
    <x v="1"/>
    <s v="Yes"/>
    <x v="2"/>
    <x v="0"/>
    <s v="Yes"/>
    <n v="20185"/>
    <n v="0"/>
    <n v="537"/>
    <n v="360"/>
    <x v="1"/>
    <x v="0"/>
    <x v="0"/>
    <n v="20185"/>
    <s v="High"/>
    <s v="High Risk"/>
  </r>
  <r>
    <x v="675"/>
    <x v="0"/>
    <s v="Yes"/>
    <x v="0"/>
    <x v="0"/>
    <s v="Yes"/>
    <n v="24621"/>
    <n v="14244"/>
    <n v="136"/>
    <n v="360"/>
    <x v="0"/>
    <x v="1"/>
    <x v="0"/>
    <n v="38865"/>
    <s v="High"/>
    <s v="Low Risk"/>
  </r>
  <r>
    <x v="676"/>
    <x v="0"/>
    <s v="No"/>
    <x v="2"/>
    <x v="1"/>
    <s v="No"/>
    <n v="7414"/>
    <n v="0"/>
    <n v="590"/>
    <n v="240"/>
    <x v="0"/>
    <x v="0"/>
    <x v="0"/>
    <n v="7414"/>
    <s v="Medium"/>
    <s v="Low Risk"/>
  </r>
  <r>
    <x v="677"/>
    <x v="0"/>
    <s v="Yes"/>
    <x v="1"/>
    <x v="1"/>
    <s v="Yes"/>
    <n v="7485"/>
    <n v="0"/>
    <n v="207"/>
    <n v="240"/>
    <x v="1"/>
    <x v="2"/>
    <x v="1"/>
    <n v="7485"/>
    <s v="Medium"/>
    <s v="High Risk"/>
  </r>
  <r>
    <x v="678"/>
    <x v="0"/>
    <s v="Yes"/>
    <x v="0"/>
    <x v="0"/>
    <s v="Yes"/>
    <n v="24873"/>
    <n v="1458"/>
    <n v="449"/>
    <n v="120"/>
    <x v="0"/>
    <x v="1"/>
    <x v="0"/>
    <n v="26331"/>
    <s v="High"/>
    <s v="Low Risk"/>
  </r>
  <r>
    <x v="679"/>
    <x v="1"/>
    <s v="No"/>
    <x v="3"/>
    <x v="0"/>
    <s v="Yes"/>
    <n v="8137"/>
    <n v="0"/>
    <n v="554"/>
    <n v="360"/>
    <x v="0"/>
    <x v="1"/>
    <x v="0"/>
    <n v="8137"/>
    <s v="Medium"/>
    <s v="Low Risk"/>
  </r>
  <r>
    <x v="680"/>
    <x v="0"/>
    <s v="No"/>
    <x v="2"/>
    <x v="1"/>
    <s v="No"/>
    <n v="19624"/>
    <n v="0"/>
    <n v="545"/>
    <n v="120"/>
    <x v="0"/>
    <x v="0"/>
    <x v="0"/>
    <n v="19624"/>
    <s v="High"/>
    <s v="Low Risk"/>
  </r>
  <r>
    <x v="681"/>
    <x v="0"/>
    <s v="No"/>
    <x v="2"/>
    <x v="0"/>
    <s v="Yes"/>
    <n v="11481"/>
    <n v="9810"/>
    <n v="506"/>
    <n v="120"/>
    <x v="1"/>
    <x v="2"/>
    <x v="0"/>
    <n v="21291"/>
    <s v="High"/>
    <s v="High Risk"/>
  </r>
  <r>
    <x v="682"/>
    <x v="0"/>
    <s v="Yes"/>
    <x v="0"/>
    <x v="0"/>
    <s v="Yes"/>
    <n v="19113"/>
    <n v="7442"/>
    <n v="92"/>
    <n v="120"/>
    <x v="1"/>
    <x v="2"/>
    <x v="0"/>
    <n v="26555"/>
    <s v="High"/>
    <s v="High Risk"/>
  </r>
  <r>
    <x v="683"/>
    <x v="1"/>
    <s v="Yes"/>
    <x v="2"/>
    <x v="0"/>
    <s v="No"/>
    <n v="10455"/>
    <n v="10295"/>
    <n v="439"/>
    <n v="240"/>
    <x v="1"/>
    <x v="0"/>
    <x v="0"/>
    <n v="20750"/>
    <s v="High"/>
    <s v="High Risk"/>
  </r>
  <r>
    <x v="684"/>
    <x v="1"/>
    <s v="Yes"/>
    <x v="1"/>
    <x v="0"/>
    <s v="No"/>
    <n v="4439"/>
    <n v="0"/>
    <n v="193"/>
    <n v="360"/>
    <x v="1"/>
    <x v="1"/>
    <x v="1"/>
    <n v="4439"/>
    <s v="Low"/>
    <s v="High Risk"/>
  </r>
  <r>
    <x v="685"/>
    <x v="0"/>
    <s v="No"/>
    <x v="0"/>
    <x v="1"/>
    <s v="No"/>
    <n v="10446"/>
    <n v="4529"/>
    <n v="399"/>
    <n v="180"/>
    <x v="0"/>
    <x v="2"/>
    <x v="0"/>
    <n v="14975"/>
    <s v="High"/>
    <s v="Low Risk"/>
  </r>
  <r>
    <x v="686"/>
    <x v="1"/>
    <s v="Yes"/>
    <x v="1"/>
    <x v="0"/>
    <s v="No"/>
    <n v="1640"/>
    <n v="0"/>
    <n v="473"/>
    <n v="360"/>
    <x v="1"/>
    <x v="2"/>
    <x v="1"/>
    <n v="1640"/>
    <s v="Low"/>
    <s v="High Risk"/>
  </r>
  <r>
    <x v="687"/>
    <x v="1"/>
    <s v="No"/>
    <x v="2"/>
    <x v="0"/>
    <s v="Yes"/>
    <n v="23507"/>
    <n v="0"/>
    <n v="411"/>
    <n v="300"/>
    <x v="1"/>
    <x v="1"/>
    <x v="0"/>
    <n v="23507"/>
    <s v="High"/>
    <s v="High Risk"/>
  </r>
  <r>
    <x v="688"/>
    <x v="1"/>
    <s v="Yes"/>
    <x v="2"/>
    <x v="0"/>
    <s v="No"/>
    <n v="13639"/>
    <n v="3661"/>
    <n v="59"/>
    <n v="180"/>
    <x v="0"/>
    <x v="1"/>
    <x v="0"/>
    <n v="17300"/>
    <s v="High"/>
    <s v="Low Risk"/>
  </r>
  <r>
    <x v="689"/>
    <x v="1"/>
    <s v="Yes"/>
    <x v="2"/>
    <x v="1"/>
    <s v="Yes"/>
    <n v="9176"/>
    <n v="8590"/>
    <n v="87"/>
    <n v="240"/>
    <x v="0"/>
    <x v="2"/>
    <x v="0"/>
    <n v="17766"/>
    <s v="High"/>
    <s v="Low Risk"/>
  </r>
  <r>
    <x v="690"/>
    <x v="0"/>
    <s v="Yes"/>
    <x v="1"/>
    <x v="1"/>
    <s v="Yes"/>
    <n v="10588"/>
    <n v="9824"/>
    <n v="224"/>
    <n v="360"/>
    <x v="0"/>
    <x v="2"/>
    <x v="0"/>
    <n v="20412"/>
    <s v="High"/>
    <s v="Low Risk"/>
  </r>
  <r>
    <x v="691"/>
    <x v="0"/>
    <s v="Yes"/>
    <x v="1"/>
    <x v="0"/>
    <s v="Yes"/>
    <n v="10007"/>
    <n v="0"/>
    <n v="585"/>
    <n v="240"/>
    <x v="0"/>
    <x v="2"/>
    <x v="0"/>
    <n v="10007"/>
    <s v="High"/>
    <s v="Low Risk"/>
  </r>
  <r>
    <x v="692"/>
    <x v="0"/>
    <s v="No"/>
    <x v="3"/>
    <x v="0"/>
    <s v="No"/>
    <n v="22503"/>
    <n v="0"/>
    <n v="380"/>
    <n v="300"/>
    <x v="1"/>
    <x v="1"/>
    <x v="0"/>
    <n v="22503"/>
    <s v="High"/>
    <s v="High Risk"/>
  </r>
  <r>
    <x v="693"/>
    <x v="1"/>
    <s v="Yes"/>
    <x v="3"/>
    <x v="1"/>
    <s v="No"/>
    <n v="18449"/>
    <n v="0"/>
    <n v="279"/>
    <n v="120"/>
    <x v="0"/>
    <x v="1"/>
    <x v="0"/>
    <n v="18449"/>
    <s v="High"/>
    <s v="Low Risk"/>
  </r>
  <r>
    <x v="694"/>
    <x v="1"/>
    <s v="No"/>
    <x v="2"/>
    <x v="1"/>
    <s v="Yes"/>
    <n v="12467"/>
    <n v="0"/>
    <n v="281"/>
    <n v="300"/>
    <x v="1"/>
    <x v="0"/>
    <x v="0"/>
    <n v="12467"/>
    <s v="High"/>
    <s v="High Risk"/>
  </r>
  <r>
    <x v="695"/>
    <x v="0"/>
    <s v="Yes"/>
    <x v="0"/>
    <x v="1"/>
    <s v="Yes"/>
    <n v="22012"/>
    <n v="0"/>
    <n v="78"/>
    <n v="300"/>
    <x v="0"/>
    <x v="0"/>
    <x v="0"/>
    <n v="22012"/>
    <s v="High"/>
    <s v="Low Risk"/>
  </r>
  <r>
    <x v="696"/>
    <x v="1"/>
    <s v="No"/>
    <x v="1"/>
    <x v="0"/>
    <s v="No"/>
    <n v="9310"/>
    <n v="0"/>
    <n v="391"/>
    <n v="360"/>
    <x v="1"/>
    <x v="0"/>
    <x v="0"/>
    <n v="9310"/>
    <s v="Medium"/>
    <s v="High Risk"/>
  </r>
  <r>
    <x v="697"/>
    <x v="1"/>
    <s v="Yes"/>
    <x v="3"/>
    <x v="0"/>
    <s v="Yes"/>
    <n v="3488"/>
    <n v="1046"/>
    <n v="370"/>
    <n v="120"/>
    <x v="1"/>
    <x v="0"/>
    <x v="1"/>
    <n v="4534"/>
    <s v="Low"/>
    <s v="High Risk"/>
  </r>
  <r>
    <x v="698"/>
    <x v="1"/>
    <s v="Yes"/>
    <x v="0"/>
    <x v="1"/>
    <s v="Yes"/>
    <n v="4836"/>
    <n v="0"/>
    <n v="622"/>
    <n v="120"/>
    <x v="0"/>
    <x v="1"/>
    <x v="1"/>
    <n v="4836"/>
    <s v="Low"/>
    <s v="Low Risk"/>
  </r>
  <r>
    <x v="699"/>
    <x v="1"/>
    <s v="Yes"/>
    <x v="3"/>
    <x v="0"/>
    <s v="Yes"/>
    <n v="16357"/>
    <n v="6790"/>
    <n v="488"/>
    <n v="360"/>
    <x v="0"/>
    <x v="1"/>
    <x v="0"/>
    <n v="23147"/>
    <s v="High"/>
    <s v="Low Risk"/>
  </r>
  <r>
    <x v="700"/>
    <x v="0"/>
    <s v="No"/>
    <x v="0"/>
    <x v="0"/>
    <s v="Yes"/>
    <n v="4864"/>
    <n v="0"/>
    <n v="657"/>
    <n v="180"/>
    <x v="1"/>
    <x v="0"/>
    <x v="1"/>
    <n v="4864"/>
    <s v="Low"/>
    <s v="High Risk"/>
  </r>
  <r>
    <x v="701"/>
    <x v="1"/>
    <s v="No"/>
    <x v="3"/>
    <x v="1"/>
    <s v="No"/>
    <n v="7592"/>
    <n v="0"/>
    <n v="95"/>
    <n v="120"/>
    <x v="0"/>
    <x v="2"/>
    <x v="0"/>
    <n v="7592"/>
    <s v="Medium"/>
    <s v="Low Risk"/>
  </r>
  <r>
    <x v="702"/>
    <x v="1"/>
    <s v="No"/>
    <x v="0"/>
    <x v="0"/>
    <s v="Yes"/>
    <n v="16885"/>
    <n v="5557"/>
    <n v="348"/>
    <n v="240"/>
    <x v="1"/>
    <x v="2"/>
    <x v="0"/>
    <n v="22442"/>
    <s v="High"/>
    <s v="High Risk"/>
  </r>
  <r>
    <x v="703"/>
    <x v="0"/>
    <s v="Yes"/>
    <x v="1"/>
    <x v="0"/>
    <s v="No"/>
    <n v="12766"/>
    <n v="0"/>
    <n v="256"/>
    <n v="120"/>
    <x v="0"/>
    <x v="2"/>
    <x v="0"/>
    <n v="12766"/>
    <s v="High"/>
    <s v="Low Risk"/>
  </r>
  <r>
    <x v="704"/>
    <x v="1"/>
    <s v="No"/>
    <x v="0"/>
    <x v="1"/>
    <s v="No"/>
    <n v="15219"/>
    <n v="0"/>
    <n v="157"/>
    <n v="300"/>
    <x v="1"/>
    <x v="0"/>
    <x v="0"/>
    <n v="15219"/>
    <s v="High"/>
    <s v="High Risk"/>
  </r>
  <r>
    <x v="705"/>
    <x v="1"/>
    <s v="Yes"/>
    <x v="2"/>
    <x v="0"/>
    <s v="Yes"/>
    <n v="16787"/>
    <n v="0"/>
    <n v="294"/>
    <n v="300"/>
    <x v="0"/>
    <x v="1"/>
    <x v="0"/>
    <n v="16787"/>
    <s v="High"/>
    <s v="Low Risk"/>
  </r>
  <r>
    <x v="706"/>
    <x v="1"/>
    <s v="Yes"/>
    <x v="3"/>
    <x v="0"/>
    <s v="Yes"/>
    <n v="13388"/>
    <n v="0"/>
    <n v="416"/>
    <n v="120"/>
    <x v="0"/>
    <x v="0"/>
    <x v="0"/>
    <n v="13388"/>
    <s v="High"/>
    <s v="Low Risk"/>
  </r>
  <r>
    <x v="707"/>
    <x v="1"/>
    <s v="No"/>
    <x v="1"/>
    <x v="1"/>
    <s v="Yes"/>
    <n v="2472"/>
    <n v="0"/>
    <n v="340"/>
    <n v="180"/>
    <x v="0"/>
    <x v="1"/>
    <x v="1"/>
    <n v="2472"/>
    <s v="Low"/>
    <s v="Low Risk"/>
  </r>
  <r>
    <x v="708"/>
    <x v="0"/>
    <s v="No"/>
    <x v="1"/>
    <x v="0"/>
    <s v="Yes"/>
    <n v="2204"/>
    <n v="3384"/>
    <n v="153"/>
    <n v="120"/>
    <x v="1"/>
    <x v="0"/>
    <x v="1"/>
    <n v="5588"/>
    <s v="Medium"/>
    <s v="High Risk"/>
  </r>
  <r>
    <x v="709"/>
    <x v="1"/>
    <s v="Yes"/>
    <x v="0"/>
    <x v="0"/>
    <s v="No"/>
    <n v="16448"/>
    <n v="4434"/>
    <n v="431"/>
    <n v="180"/>
    <x v="1"/>
    <x v="2"/>
    <x v="0"/>
    <n v="20882"/>
    <s v="High"/>
    <s v="High Risk"/>
  </r>
  <r>
    <x v="710"/>
    <x v="1"/>
    <s v="Yes"/>
    <x v="2"/>
    <x v="0"/>
    <s v="Yes"/>
    <n v="7714"/>
    <n v="3640"/>
    <n v="433"/>
    <n v="240"/>
    <x v="0"/>
    <x v="2"/>
    <x v="0"/>
    <n v="11354"/>
    <s v="High"/>
    <s v="Low Risk"/>
  </r>
  <r>
    <x v="711"/>
    <x v="0"/>
    <s v="Yes"/>
    <x v="1"/>
    <x v="1"/>
    <s v="Yes"/>
    <n v="12237"/>
    <n v="0"/>
    <n v="694"/>
    <n v="240"/>
    <x v="1"/>
    <x v="2"/>
    <x v="0"/>
    <n v="12237"/>
    <s v="High"/>
    <s v="High Risk"/>
  </r>
  <r>
    <x v="712"/>
    <x v="1"/>
    <s v="Yes"/>
    <x v="2"/>
    <x v="1"/>
    <s v="Yes"/>
    <n v="6986"/>
    <n v="8833"/>
    <n v="571"/>
    <n v="240"/>
    <x v="0"/>
    <x v="1"/>
    <x v="0"/>
    <n v="15819"/>
    <s v="High"/>
    <s v="Low Risk"/>
  </r>
  <r>
    <x v="713"/>
    <x v="0"/>
    <s v="No"/>
    <x v="0"/>
    <x v="1"/>
    <s v="No"/>
    <n v="17024"/>
    <n v="4896"/>
    <n v="647"/>
    <n v="120"/>
    <x v="0"/>
    <x v="0"/>
    <x v="0"/>
    <n v="21920"/>
    <s v="High"/>
    <s v="Low Risk"/>
  </r>
  <r>
    <x v="714"/>
    <x v="1"/>
    <s v="Yes"/>
    <x v="3"/>
    <x v="0"/>
    <s v="No"/>
    <n v="15427"/>
    <n v="0"/>
    <n v="433"/>
    <n v="240"/>
    <x v="0"/>
    <x v="0"/>
    <x v="0"/>
    <n v="15427"/>
    <s v="High"/>
    <s v="Low Risk"/>
  </r>
  <r>
    <x v="715"/>
    <x v="0"/>
    <s v="No"/>
    <x v="3"/>
    <x v="1"/>
    <s v="Yes"/>
    <n v="20635"/>
    <n v="1174"/>
    <n v="574"/>
    <n v="360"/>
    <x v="0"/>
    <x v="1"/>
    <x v="0"/>
    <n v="21809"/>
    <s v="High"/>
    <s v="Low Risk"/>
  </r>
  <r>
    <x v="716"/>
    <x v="1"/>
    <s v="No"/>
    <x v="3"/>
    <x v="1"/>
    <s v="No"/>
    <n v="11888"/>
    <n v="4973"/>
    <n v="75"/>
    <n v="180"/>
    <x v="0"/>
    <x v="1"/>
    <x v="0"/>
    <n v="16861"/>
    <s v="High"/>
    <s v="Low Risk"/>
  </r>
  <r>
    <x v="717"/>
    <x v="0"/>
    <s v="No"/>
    <x v="2"/>
    <x v="1"/>
    <s v="Yes"/>
    <n v="10557"/>
    <n v="0"/>
    <n v="171"/>
    <n v="120"/>
    <x v="0"/>
    <x v="2"/>
    <x v="0"/>
    <n v="10557"/>
    <s v="High"/>
    <s v="Low Risk"/>
  </r>
  <r>
    <x v="718"/>
    <x v="0"/>
    <s v="No"/>
    <x v="1"/>
    <x v="1"/>
    <s v="No"/>
    <n v="11419"/>
    <n v="12709"/>
    <n v="245"/>
    <n v="360"/>
    <x v="1"/>
    <x v="2"/>
    <x v="0"/>
    <n v="24128"/>
    <s v="High"/>
    <s v="High Risk"/>
  </r>
  <r>
    <x v="719"/>
    <x v="1"/>
    <s v="Yes"/>
    <x v="0"/>
    <x v="1"/>
    <s v="No"/>
    <n v="14732"/>
    <n v="0"/>
    <n v="533"/>
    <n v="360"/>
    <x v="1"/>
    <x v="0"/>
    <x v="0"/>
    <n v="14732"/>
    <s v="High"/>
    <s v="High Risk"/>
  </r>
  <r>
    <x v="720"/>
    <x v="1"/>
    <s v="Yes"/>
    <x v="1"/>
    <x v="0"/>
    <s v="No"/>
    <n v="9158"/>
    <n v="8951"/>
    <n v="522"/>
    <n v="240"/>
    <x v="1"/>
    <x v="1"/>
    <x v="0"/>
    <n v="18109"/>
    <s v="High"/>
    <s v="High Risk"/>
  </r>
  <r>
    <x v="721"/>
    <x v="0"/>
    <s v="No"/>
    <x v="3"/>
    <x v="0"/>
    <s v="No"/>
    <n v="16244"/>
    <n v="0"/>
    <n v="433"/>
    <n v="180"/>
    <x v="0"/>
    <x v="0"/>
    <x v="0"/>
    <n v="16244"/>
    <s v="High"/>
    <s v="Low Risk"/>
  </r>
  <r>
    <x v="722"/>
    <x v="1"/>
    <s v="Yes"/>
    <x v="3"/>
    <x v="1"/>
    <s v="No"/>
    <n v="8888"/>
    <n v="7367"/>
    <n v="463"/>
    <n v="360"/>
    <x v="0"/>
    <x v="2"/>
    <x v="0"/>
    <n v="16255"/>
    <s v="High"/>
    <s v="Low Risk"/>
  </r>
  <r>
    <x v="723"/>
    <x v="0"/>
    <s v="Yes"/>
    <x v="1"/>
    <x v="0"/>
    <s v="No"/>
    <n v="20118"/>
    <n v="10819"/>
    <n v="440"/>
    <n v="180"/>
    <x v="1"/>
    <x v="0"/>
    <x v="0"/>
    <n v="30937"/>
    <s v="High"/>
    <s v="High Risk"/>
  </r>
  <r>
    <x v="724"/>
    <x v="1"/>
    <s v="Yes"/>
    <x v="3"/>
    <x v="0"/>
    <s v="No"/>
    <n v="20161"/>
    <n v="7897"/>
    <n v="145"/>
    <n v="180"/>
    <x v="0"/>
    <x v="2"/>
    <x v="0"/>
    <n v="28058"/>
    <s v="High"/>
    <s v="Low Risk"/>
  </r>
  <r>
    <x v="725"/>
    <x v="0"/>
    <s v="Yes"/>
    <x v="3"/>
    <x v="0"/>
    <s v="Yes"/>
    <n v="8020"/>
    <n v="1638"/>
    <n v="340"/>
    <n v="180"/>
    <x v="0"/>
    <x v="2"/>
    <x v="0"/>
    <n v="9658"/>
    <s v="Medium"/>
    <s v="Low Risk"/>
  </r>
  <r>
    <x v="726"/>
    <x v="0"/>
    <s v="No"/>
    <x v="2"/>
    <x v="1"/>
    <s v="Yes"/>
    <n v="7130"/>
    <n v="5853"/>
    <n v="450"/>
    <n v="180"/>
    <x v="1"/>
    <x v="0"/>
    <x v="0"/>
    <n v="12983"/>
    <s v="High"/>
    <s v="High Risk"/>
  </r>
  <r>
    <x v="727"/>
    <x v="1"/>
    <s v="No"/>
    <x v="2"/>
    <x v="1"/>
    <s v="Yes"/>
    <n v="5757"/>
    <n v="0"/>
    <n v="367"/>
    <n v="300"/>
    <x v="1"/>
    <x v="2"/>
    <x v="1"/>
    <n v="5757"/>
    <s v="Medium"/>
    <s v="High Risk"/>
  </r>
  <r>
    <x v="728"/>
    <x v="1"/>
    <s v="Yes"/>
    <x v="0"/>
    <x v="0"/>
    <s v="No"/>
    <n v="10525"/>
    <n v="0"/>
    <n v="196"/>
    <n v="300"/>
    <x v="0"/>
    <x v="1"/>
    <x v="0"/>
    <n v="10525"/>
    <s v="High"/>
    <s v="Low Risk"/>
  </r>
  <r>
    <x v="729"/>
    <x v="0"/>
    <s v="No"/>
    <x v="3"/>
    <x v="1"/>
    <s v="No"/>
    <n v="20378"/>
    <n v="0"/>
    <n v="344"/>
    <n v="300"/>
    <x v="0"/>
    <x v="2"/>
    <x v="0"/>
    <n v="20378"/>
    <s v="High"/>
    <s v="Low Risk"/>
  </r>
  <r>
    <x v="730"/>
    <x v="1"/>
    <s v="No"/>
    <x v="1"/>
    <x v="1"/>
    <s v="Yes"/>
    <n v="7384"/>
    <n v="10620"/>
    <n v="518"/>
    <n v="300"/>
    <x v="1"/>
    <x v="0"/>
    <x v="0"/>
    <n v="18004"/>
    <s v="High"/>
    <s v="High Risk"/>
  </r>
  <r>
    <x v="731"/>
    <x v="0"/>
    <s v="No"/>
    <x v="2"/>
    <x v="0"/>
    <s v="Yes"/>
    <n v="10471"/>
    <n v="14959"/>
    <n v="118"/>
    <n v="180"/>
    <x v="1"/>
    <x v="1"/>
    <x v="0"/>
    <n v="25430"/>
    <s v="High"/>
    <s v="High Risk"/>
  </r>
  <r>
    <x v="732"/>
    <x v="0"/>
    <s v="No"/>
    <x v="2"/>
    <x v="0"/>
    <s v="No"/>
    <n v="14938"/>
    <n v="0"/>
    <n v="308"/>
    <n v="180"/>
    <x v="0"/>
    <x v="1"/>
    <x v="0"/>
    <n v="14938"/>
    <s v="High"/>
    <s v="Low Risk"/>
  </r>
  <r>
    <x v="733"/>
    <x v="0"/>
    <s v="Yes"/>
    <x v="3"/>
    <x v="1"/>
    <s v="No"/>
    <n v="14585"/>
    <n v="0"/>
    <n v="456"/>
    <n v="120"/>
    <x v="0"/>
    <x v="0"/>
    <x v="0"/>
    <n v="14585"/>
    <s v="High"/>
    <s v="Low Risk"/>
  </r>
  <r>
    <x v="734"/>
    <x v="0"/>
    <s v="No"/>
    <x v="3"/>
    <x v="1"/>
    <s v="No"/>
    <n v="3735"/>
    <n v="0"/>
    <n v="498"/>
    <n v="180"/>
    <x v="0"/>
    <x v="1"/>
    <x v="1"/>
    <n v="3735"/>
    <s v="Low"/>
    <s v="Low Risk"/>
  </r>
  <r>
    <x v="735"/>
    <x v="0"/>
    <s v="Yes"/>
    <x v="2"/>
    <x v="0"/>
    <s v="Yes"/>
    <n v="11138"/>
    <n v="2534"/>
    <n v="222"/>
    <n v="120"/>
    <x v="0"/>
    <x v="0"/>
    <x v="0"/>
    <n v="13672"/>
    <s v="High"/>
    <s v="Low Risk"/>
  </r>
  <r>
    <x v="736"/>
    <x v="1"/>
    <s v="Yes"/>
    <x v="3"/>
    <x v="1"/>
    <s v="Yes"/>
    <n v="8599"/>
    <n v="0"/>
    <n v="595"/>
    <n v="180"/>
    <x v="0"/>
    <x v="0"/>
    <x v="0"/>
    <n v="8599"/>
    <s v="Medium"/>
    <s v="Low Risk"/>
  </r>
  <r>
    <x v="737"/>
    <x v="0"/>
    <s v="No"/>
    <x v="0"/>
    <x v="1"/>
    <s v="Yes"/>
    <n v="21101"/>
    <n v="0"/>
    <n v="436"/>
    <n v="180"/>
    <x v="1"/>
    <x v="1"/>
    <x v="0"/>
    <n v="21101"/>
    <s v="High"/>
    <s v="High Risk"/>
  </r>
  <r>
    <x v="738"/>
    <x v="0"/>
    <s v="Yes"/>
    <x v="2"/>
    <x v="0"/>
    <s v="No"/>
    <n v="2415"/>
    <n v="738"/>
    <n v="246"/>
    <n v="120"/>
    <x v="0"/>
    <x v="0"/>
    <x v="1"/>
    <n v="3153"/>
    <s v="Low"/>
    <s v="Low Risk"/>
  </r>
  <r>
    <x v="739"/>
    <x v="0"/>
    <s v="Yes"/>
    <x v="2"/>
    <x v="1"/>
    <s v="Yes"/>
    <n v="12219"/>
    <n v="0"/>
    <n v="689"/>
    <n v="180"/>
    <x v="1"/>
    <x v="1"/>
    <x v="0"/>
    <n v="12219"/>
    <s v="High"/>
    <s v="High Risk"/>
  </r>
  <r>
    <x v="740"/>
    <x v="1"/>
    <s v="Yes"/>
    <x v="1"/>
    <x v="0"/>
    <s v="Yes"/>
    <n v="13184"/>
    <n v="0"/>
    <n v="65"/>
    <n v="300"/>
    <x v="0"/>
    <x v="0"/>
    <x v="0"/>
    <n v="13184"/>
    <s v="High"/>
    <s v="Low Risk"/>
  </r>
  <r>
    <x v="741"/>
    <x v="1"/>
    <s v="Yes"/>
    <x v="3"/>
    <x v="0"/>
    <s v="Yes"/>
    <n v="23060"/>
    <n v="13854"/>
    <n v="688"/>
    <n v="240"/>
    <x v="0"/>
    <x v="0"/>
    <x v="0"/>
    <n v="36914"/>
    <s v="High"/>
    <s v="Low Risk"/>
  </r>
  <r>
    <x v="742"/>
    <x v="1"/>
    <s v="No"/>
    <x v="3"/>
    <x v="0"/>
    <s v="Yes"/>
    <n v="9755"/>
    <n v="2052"/>
    <n v="696"/>
    <n v="300"/>
    <x v="0"/>
    <x v="2"/>
    <x v="0"/>
    <n v="11807"/>
    <s v="High"/>
    <s v="Low Risk"/>
  </r>
  <r>
    <x v="743"/>
    <x v="0"/>
    <s v="No"/>
    <x v="1"/>
    <x v="1"/>
    <s v="No"/>
    <n v="3712"/>
    <n v="0"/>
    <n v="673"/>
    <n v="360"/>
    <x v="0"/>
    <x v="2"/>
    <x v="1"/>
    <n v="3712"/>
    <s v="Low"/>
    <s v="Low Risk"/>
  </r>
  <r>
    <x v="744"/>
    <x v="0"/>
    <s v="Yes"/>
    <x v="1"/>
    <x v="0"/>
    <s v="Yes"/>
    <n v="11620"/>
    <n v="4373"/>
    <n v="299"/>
    <n v="360"/>
    <x v="0"/>
    <x v="0"/>
    <x v="0"/>
    <n v="15993"/>
    <s v="High"/>
    <s v="Low Risk"/>
  </r>
  <r>
    <x v="745"/>
    <x v="1"/>
    <s v="No"/>
    <x v="0"/>
    <x v="0"/>
    <s v="Yes"/>
    <n v="13812"/>
    <n v="0"/>
    <n v="293"/>
    <n v="360"/>
    <x v="1"/>
    <x v="1"/>
    <x v="0"/>
    <n v="13812"/>
    <s v="High"/>
    <s v="High Risk"/>
  </r>
  <r>
    <x v="746"/>
    <x v="1"/>
    <s v="Yes"/>
    <x v="0"/>
    <x v="1"/>
    <s v="Yes"/>
    <n v="18567"/>
    <n v="13472"/>
    <n v="345"/>
    <n v="120"/>
    <x v="0"/>
    <x v="2"/>
    <x v="0"/>
    <n v="32039"/>
    <s v="High"/>
    <s v="Low Risk"/>
  </r>
  <r>
    <x v="747"/>
    <x v="1"/>
    <s v="No"/>
    <x v="1"/>
    <x v="0"/>
    <s v="Yes"/>
    <n v="23290"/>
    <n v="0"/>
    <n v="672"/>
    <n v="300"/>
    <x v="0"/>
    <x v="0"/>
    <x v="0"/>
    <n v="23290"/>
    <s v="High"/>
    <s v="Low Risk"/>
  </r>
  <r>
    <x v="748"/>
    <x v="1"/>
    <s v="Yes"/>
    <x v="2"/>
    <x v="1"/>
    <s v="Yes"/>
    <n v="7806"/>
    <n v="0"/>
    <n v="259"/>
    <n v="180"/>
    <x v="0"/>
    <x v="2"/>
    <x v="0"/>
    <n v="7806"/>
    <s v="Medium"/>
    <s v="Low Risk"/>
  </r>
  <r>
    <x v="749"/>
    <x v="0"/>
    <s v="Yes"/>
    <x v="2"/>
    <x v="1"/>
    <s v="No"/>
    <n v="11706"/>
    <n v="0"/>
    <n v="300"/>
    <n v="300"/>
    <x v="0"/>
    <x v="0"/>
    <x v="0"/>
    <n v="11706"/>
    <s v="High"/>
    <s v="Low Risk"/>
  </r>
  <r>
    <x v="750"/>
    <x v="1"/>
    <s v="No"/>
    <x v="3"/>
    <x v="0"/>
    <s v="No"/>
    <n v="17267"/>
    <n v="1810"/>
    <n v="457"/>
    <n v="300"/>
    <x v="0"/>
    <x v="1"/>
    <x v="0"/>
    <n v="19077"/>
    <s v="High"/>
    <s v="Low Risk"/>
  </r>
  <r>
    <x v="751"/>
    <x v="1"/>
    <s v="No"/>
    <x v="1"/>
    <x v="1"/>
    <s v="Yes"/>
    <n v="13998"/>
    <n v="0"/>
    <n v="357"/>
    <n v="360"/>
    <x v="0"/>
    <x v="2"/>
    <x v="0"/>
    <n v="13998"/>
    <s v="High"/>
    <s v="Low Risk"/>
  </r>
  <r>
    <x v="752"/>
    <x v="0"/>
    <s v="No"/>
    <x v="3"/>
    <x v="1"/>
    <s v="No"/>
    <n v="16363"/>
    <n v="5140"/>
    <n v="625"/>
    <n v="360"/>
    <x v="0"/>
    <x v="1"/>
    <x v="0"/>
    <n v="21503"/>
    <s v="High"/>
    <s v="Low Risk"/>
  </r>
  <r>
    <x v="753"/>
    <x v="0"/>
    <s v="No"/>
    <x v="1"/>
    <x v="0"/>
    <s v="Yes"/>
    <n v="1636"/>
    <n v="710"/>
    <n v="553"/>
    <n v="300"/>
    <x v="1"/>
    <x v="1"/>
    <x v="1"/>
    <n v="2346"/>
    <s v="Low"/>
    <s v="High Risk"/>
  </r>
  <r>
    <x v="754"/>
    <x v="1"/>
    <s v="No"/>
    <x v="3"/>
    <x v="1"/>
    <s v="Yes"/>
    <n v="14895"/>
    <n v="0"/>
    <n v="177"/>
    <n v="300"/>
    <x v="1"/>
    <x v="0"/>
    <x v="0"/>
    <n v="14895"/>
    <s v="High"/>
    <s v="High Risk"/>
  </r>
  <r>
    <x v="755"/>
    <x v="0"/>
    <s v="No"/>
    <x v="0"/>
    <x v="1"/>
    <s v="No"/>
    <n v="22307"/>
    <n v="11780"/>
    <n v="109"/>
    <n v="300"/>
    <x v="1"/>
    <x v="2"/>
    <x v="0"/>
    <n v="34087"/>
    <s v="High"/>
    <s v="High Risk"/>
  </r>
  <r>
    <x v="756"/>
    <x v="0"/>
    <s v="Yes"/>
    <x v="3"/>
    <x v="0"/>
    <s v="No"/>
    <n v="22175"/>
    <n v="0"/>
    <n v="201"/>
    <n v="240"/>
    <x v="0"/>
    <x v="2"/>
    <x v="0"/>
    <n v="22175"/>
    <s v="High"/>
    <s v="Low Risk"/>
  </r>
  <r>
    <x v="757"/>
    <x v="0"/>
    <s v="No"/>
    <x v="1"/>
    <x v="0"/>
    <s v="Yes"/>
    <n v="5325"/>
    <n v="0"/>
    <n v="443"/>
    <n v="300"/>
    <x v="0"/>
    <x v="0"/>
    <x v="0"/>
    <n v="5325"/>
    <s v="Medium"/>
    <s v="Low Risk"/>
  </r>
  <r>
    <x v="758"/>
    <x v="0"/>
    <s v="No"/>
    <x v="1"/>
    <x v="1"/>
    <s v="No"/>
    <n v="24170"/>
    <n v="5451"/>
    <n v="650"/>
    <n v="240"/>
    <x v="0"/>
    <x v="2"/>
    <x v="0"/>
    <n v="29621"/>
    <s v="High"/>
    <s v="Low Risk"/>
  </r>
  <r>
    <x v="759"/>
    <x v="0"/>
    <s v="Yes"/>
    <x v="0"/>
    <x v="0"/>
    <s v="No"/>
    <n v="8365"/>
    <n v="12759"/>
    <n v="365"/>
    <n v="120"/>
    <x v="1"/>
    <x v="1"/>
    <x v="0"/>
    <n v="21124"/>
    <s v="High"/>
    <s v="High Risk"/>
  </r>
  <r>
    <x v="760"/>
    <x v="0"/>
    <s v="Yes"/>
    <x v="2"/>
    <x v="1"/>
    <s v="No"/>
    <n v="22947"/>
    <n v="5224"/>
    <n v="224"/>
    <n v="180"/>
    <x v="0"/>
    <x v="2"/>
    <x v="0"/>
    <n v="28171"/>
    <s v="High"/>
    <s v="Low Risk"/>
  </r>
  <r>
    <x v="761"/>
    <x v="0"/>
    <s v="Yes"/>
    <x v="3"/>
    <x v="0"/>
    <s v="Yes"/>
    <n v="16267"/>
    <n v="0"/>
    <n v="240"/>
    <n v="180"/>
    <x v="0"/>
    <x v="0"/>
    <x v="0"/>
    <n v="16267"/>
    <s v="High"/>
    <s v="Low Risk"/>
  </r>
  <r>
    <x v="762"/>
    <x v="0"/>
    <s v="No"/>
    <x v="3"/>
    <x v="1"/>
    <s v="Yes"/>
    <n v="22354"/>
    <n v="0"/>
    <n v="350"/>
    <n v="120"/>
    <x v="0"/>
    <x v="1"/>
    <x v="0"/>
    <n v="22354"/>
    <s v="High"/>
    <s v="Low Risk"/>
  </r>
  <r>
    <x v="763"/>
    <x v="0"/>
    <s v="No"/>
    <x v="2"/>
    <x v="0"/>
    <s v="No"/>
    <n v="17398"/>
    <n v="0"/>
    <n v="59"/>
    <n v="120"/>
    <x v="0"/>
    <x v="0"/>
    <x v="0"/>
    <n v="17398"/>
    <s v="High"/>
    <s v="Low Risk"/>
  </r>
  <r>
    <x v="764"/>
    <x v="0"/>
    <s v="Yes"/>
    <x v="1"/>
    <x v="0"/>
    <s v="No"/>
    <n v="21258"/>
    <n v="9020"/>
    <n v="547"/>
    <n v="300"/>
    <x v="0"/>
    <x v="2"/>
    <x v="0"/>
    <n v="30278"/>
    <s v="High"/>
    <s v="Low Risk"/>
  </r>
  <r>
    <x v="765"/>
    <x v="1"/>
    <s v="No"/>
    <x v="0"/>
    <x v="1"/>
    <s v="No"/>
    <n v="9351"/>
    <n v="6418"/>
    <n v="437"/>
    <n v="360"/>
    <x v="0"/>
    <x v="1"/>
    <x v="0"/>
    <n v="15769"/>
    <s v="High"/>
    <s v="Low Risk"/>
  </r>
  <r>
    <x v="766"/>
    <x v="1"/>
    <s v="Yes"/>
    <x v="2"/>
    <x v="1"/>
    <s v="No"/>
    <n v="6050"/>
    <n v="0"/>
    <n v="593"/>
    <n v="240"/>
    <x v="1"/>
    <x v="0"/>
    <x v="1"/>
    <n v="6050"/>
    <s v="Medium"/>
    <s v="High Risk"/>
  </r>
  <r>
    <x v="767"/>
    <x v="1"/>
    <s v="No"/>
    <x v="3"/>
    <x v="1"/>
    <s v="Yes"/>
    <n v="1602"/>
    <n v="10954"/>
    <n v="67"/>
    <n v="240"/>
    <x v="1"/>
    <x v="2"/>
    <x v="0"/>
    <n v="12556"/>
    <s v="High"/>
    <s v="High Risk"/>
  </r>
  <r>
    <x v="768"/>
    <x v="1"/>
    <s v="No"/>
    <x v="1"/>
    <x v="1"/>
    <s v="No"/>
    <n v="21573"/>
    <n v="0"/>
    <n v="406"/>
    <n v="300"/>
    <x v="1"/>
    <x v="1"/>
    <x v="0"/>
    <n v="21573"/>
    <s v="High"/>
    <s v="High Risk"/>
  </r>
  <r>
    <x v="769"/>
    <x v="0"/>
    <s v="No"/>
    <x v="0"/>
    <x v="0"/>
    <s v="Yes"/>
    <n v="18541"/>
    <n v="0"/>
    <n v="180"/>
    <n v="300"/>
    <x v="1"/>
    <x v="1"/>
    <x v="0"/>
    <n v="18541"/>
    <s v="High"/>
    <s v="High Risk"/>
  </r>
  <r>
    <x v="770"/>
    <x v="1"/>
    <s v="Yes"/>
    <x v="3"/>
    <x v="0"/>
    <s v="No"/>
    <n v="23213"/>
    <n v="0"/>
    <n v="299"/>
    <n v="180"/>
    <x v="0"/>
    <x v="2"/>
    <x v="0"/>
    <n v="23213"/>
    <s v="High"/>
    <s v="Low Risk"/>
  </r>
  <r>
    <x v="771"/>
    <x v="0"/>
    <s v="Yes"/>
    <x v="3"/>
    <x v="0"/>
    <s v="Yes"/>
    <n v="12198"/>
    <n v="6783"/>
    <n v="275"/>
    <n v="240"/>
    <x v="0"/>
    <x v="2"/>
    <x v="0"/>
    <n v="18981"/>
    <s v="High"/>
    <s v="Low Risk"/>
  </r>
  <r>
    <x v="772"/>
    <x v="0"/>
    <s v="Yes"/>
    <x v="3"/>
    <x v="0"/>
    <s v="No"/>
    <n v="8833"/>
    <n v="0"/>
    <n v="401"/>
    <n v="300"/>
    <x v="1"/>
    <x v="2"/>
    <x v="0"/>
    <n v="8833"/>
    <s v="Medium"/>
    <s v="High Risk"/>
  </r>
  <r>
    <x v="773"/>
    <x v="1"/>
    <s v="No"/>
    <x v="1"/>
    <x v="0"/>
    <s v="No"/>
    <n v="5290"/>
    <n v="0"/>
    <n v="164"/>
    <n v="120"/>
    <x v="0"/>
    <x v="2"/>
    <x v="0"/>
    <n v="5290"/>
    <s v="Medium"/>
    <s v="Low Risk"/>
  </r>
  <r>
    <x v="774"/>
    <x v="0"/>
    <s v="Yes"/>
    <x v="0"/>
    <x v="0"/>
    <s v="No"/>
    <n v="13958"/>
    <n v="0"/>
    <n v="368"/>
    <n v="120"/>
    <x v="0"/>
    <x v="0"/>
    <x v="0"/>
    <n v="13958"/>
    <s v="High"/>
    <s v="Low Risk"/>
  </r>
  <r>
    <x v="775"/>
    <x v="1"/>
    <s v="No"/>
    <x v="0"/>
    <x v="1"/>
    <s v="Yes"/>
    <n v="18531"/>
    <n v="0"/>
    <n v="159"/>
    <n v="300"/>
    <x v="0"/>
    <x v="1"/>
    <x v="0"/>
    <n v="18531"/>
    <s v="High"/>
    <s v="Low Risk"/>
  </r>
  <r>
    <x v="776"/>
    <x v="1"/>
    <s v="Yes"/>
    <x v="0"/>
    <x v="0"/>
    <s v="No"/>
    <n v="23781"/>
    <n v="0"/>
    <n v="665"/>
    <n v="240"/>
    <x v="0"/>
    <x v="2"/>
    <x v="0"/>
    <n v="23781"/>
    <s v="High"/>
    <s v="Low Risk"/>
  </r>
  <r>
    <x v="777"/>
    <x v="0"/>
    <s v="No"/>
    <x v="0"/>
    <x v="0"/>
    <s v="No"/>
    <n v="24651"/>
    <n v="9903"/>
    <n v="696"/>
    <n v="180"/>
    <x v="0"/>
    <x v="2"/>
    <x v="0"/>
    <n v="34554"/>
    <s v="High"/>
    <s v="Low Risk"/>
  </r>
  <r>
    <x v="778"/>
    <x v="1"/>
    <s v="Yes"/>
    <x v="0"/>
    <x v="0"/>
    <s v="Yes"/>
    <n v="8875"/>
    <n v="0"/>
    <n v="233"/>
    <n v="300"/>
    <x v="0"/>
    <x v="1"/>
    <x v="0"/>
    <n v="8875"/>
    <s v="Medium"/>
    <s v="Low Risk"/>
  </r>
  <r>
    <x v="779"/>
    <x v="0"/>
    <s v="Yes"/>
    <x v="3"/>
    <x v="1"/>
    <s v="No"/>
    <n v="23713"/>
    <n v="8256"/>
    <n v="450"/>
    <n v="300"/>
    <x v="0"/>
    <x v="2"/>
    <x v="0"/>
    <n v="31969"/>
    <s v="High"/>
    <s v="Low Risk"/>
  </r>
  <r>
    <x v="780"/>
    <x v="1"/>
    <s v="No"/>
    <x v="1"/>
    <x v="1"/>
    <s v="Yes"/>
    <n v="5789"/>
    <n v="0"/>
    <n v="361"/>
    <n v="300"/>
    <x v="0"/>
    <x v="2"/>
    <x v="0"/>
    <n v="5789"/>
    <s v="Medium"/>
    <s v="Low Risk"/>
  </r>
  <r>
    <x v="781"/>
    <x v="0"/>
    <s v="No"/>
    <x v="3"/>
    <x v="1"/>
    <s v="Yes"/>
    <n v="8373"/>
    <n v="0"/>
    <n v="59"/>
    <n v="240"/>
    <x v="0"/>
    <x v="2"/>
    <x v="0"/>
    <n v="8373"/>
    <s v="Medium"/>
    <s v="Low Risk"/>
  </r>
  <r>
    <x v="782"/>
    <x v="0"/>
    <s v="Yes"/>
    <x v="3"/>
    <x v="1"/>
    <s v="Yes"/>
    <n v="3345"/>
    <n v="2073"/>
    <n v="535"/>
    <n v="180"/>
    <x v="1"/>
    <x v="0"/>
    <x v="1"/>
    <n v="5418"/>
    <s v="Medium"/>
    <s v="High Risk"/>
  </r>
  <r>
    <x v="783"/>
    <x v="1"/>
    <s v="No"/>
    <x v="1"/>
    <x v="1"/>
    <s v="Yes"/>
    <n v="2613"/>
    <n v="0"/>
    <n v="456"/>
    <n v="300"/>
    <x v="0"/>
    <x v="2"/>
    <x v="1"/>
    <n v="2613"/>
    <s v="Low"/>
    <s v="Low Risk"/>
  </r>
  <r>
    <x v="784"/>
    <x v="0"/>
    <s v="No"/>
    <x v="2"/>
    <x v="1"/>
    <s v="No"/>
    <n v="10518"/>
    <n v="10860"/>
    <n v="426"/>
    <n v="120"/>
    <x v="0"/>
    <x v="0"/>
    <x v="0"/>
    <n v="21378"/>
    <s v="High"/>
    <s v="Low Risk"/>
  </r>
  <r>
    <x v="785"/>
    <x v="0"/>
    <s v="No"/>
    <x v="1"/>
    <x v="0"/>
    <s v="No"/>
    <n v="10469"/>
    <n v="0"/>
    <n v="657"/>
    <n v="180"/>
    <x v="0"/>
    <x v="2"/>
    <x v="0"/>
    <n v="10469"/>
    <s v="High"/>
    <s v="Low Risk"/>
  </r>
  <r>
    <x v="786"/>
    <x v="1"/>
    <s v="No"/>
    <x v="1"/>
    <x v="0"/>
    <s v="No"/>
    <n v="3580"/>
    <n v="0"/>
    <n v="465"/>
    <n v="120"/>
    <x v="0"/>
    <x v="2"/>
    <x v="1"/>
    <n v="3580"/>
    <s v="Low"/>
    <s v="Low Risk"/>
  </r>
  <r>
    <x v="787"/>
    <x v="1"/>
    <s v="Yes"/>
    <x v="2"/>
    <x v="0"/>
    <s v="Yes"/>
    <n v="7420"/>
    <n v="0"/>
    <n v="55"/>
    <n v="360"/>
    <x v="0"/>
    <x v="1"/>
    <x v="0"/>
    <n v="7420"/>
    <s v="Medium"/>
    <s v="Low Risk"/>
  </r>
  <r>
    <x v="788"/>
    <x v="0"/>
    <s v="Yes"/>
    <x v="1"/>
    <x v="0"/>
    <s v="Yes"/>
    <n v="4377"/>
    <n v="9715"/>
    <n v="85"/>
    <n v="120"/>
    <x v="1"/>
    <x v="2"/>
    <x v="0"/>
    <n v="14092"/>
    <s v="High"/>
    <s v="High Risk"/>
  </r>
  <r>
    <x v="789"/>
    <x v="1"/>
    <s v="No"/>
    <x v="1"/>
    <x v="1"/>
    <s v="Yes"/>
    <n v="9637"/>
    <n v="0"/>
    <n v="581"/>
    <n v="240"/>
    <x v="0"/>
    <x v="1"/>
    <x v="0"/>
    <n v="9637"/>
    <s v="Medium"/>
    <s v="Low Risk"/>
  </r>
  <r>
    <x v="790"/>
    <x v="0"/>
    <s v="No"/>
    <x v="0"/>
    <x v="1"/>
    <s v="Yes"/>
    <n v="24042"/>
    <n v="0"/>
    <n v="292"/>
    <n v="120"/>
    <x v="0"/>
    <x v="1"/>
    <x v="0"/>
    <n v="24042"/>
    <s v="High"/>
    <s v="Low Risk"/>
  </r>
  <r>
    <x v="791"/>
    <x v="0"/>
    <s v="Yes"/>
    <x v="1"/>
    <x v="1"/>
    <s v="No"/>
    <n v="5710"/>
    <n v="12445"/>
    <n v="126"/>
    <n v="360"/>
    <x v="0"/>
    <x v="1"/>
    <x v="0"/>
    <n v="18155"/>
    <s v="High"/>
    <s v="Low Risk"/>
  </r>
  <r>
    <x v="792"/>
    <x v="0"/>
    <s v="No"/>
    <x v="3"/>
    <x v="0"/>
    <s v="No"/>
    <n v="23668"/>
    <n v="0"/>
    <n v="598"/>
    <n v="180"/>
    <x v="0"/>
    <x v="2"/>
    <x v="0"/>
    <n v="23668"/>
    <s v="High"/>
    <s v="Low Risk"/>
  </r>
  <r>
    <x v="793"/>
    <x v="1"/>
    <s v="Yes"/>
    <x v="0"/>
    <x v="0"/>
    <s v="No"/>
    <n v="6529"/>
    <n v="5683"/>
    <n v="438"/>
    <n v="120"/>
    <x v="1"/>
    <x v="0"/>
    <x v="0"/>
    <n v="12212"/>
    <s v="High"/>
    <s v="High Risk"/>
  </r>
  <r>
    <x v="794"/>
    <x v="0"/>
    <s v="No"/>
    <x v="2"/>
    <x v="0"/>
    <s v="No"/>
    <n v="3661"/>
    <n v="0"/>
    <n v="421"/>
    <n v="240"/>
    <x v="0"/>
    <x v="0"/>
    <x v="1"/>
    <n v="3661"/>
    <s v="Low"/>
    <s v="Low Risk"/>
  </r>
  <r>
    <x v="795"/>
    <x v="0"/>
    <s v="No"/>
    <x v="2"/>
    <x v="0"/>
    <s v="No"/>
    <n v="8781"/>
    <n v="0"/>
    <n v="176"/>
    <n v="180"/>
    <x v="0"/>
    <x v="1"/>
    <x v="0"/>
    <n v="8781"/>
    <s v="Medium"/>
    <s v="Low Risk"/>
  </r>
  <r>
    <x v="796"/>
    <x v="1"/>
    <s v="Yes"/>
    <x v="0"/>
    <x v="1"/>
    <s v="No"/>
    <n v="21405"/>
    <n v="0"/>
    <n v="224"/>
    <n v="240"/>
    <x v="1"/>
    <x v="1"/>
    <x v="0"/>
    <n v="21405"/>
    <s v="High"/>
    <s v="High Risk"/>
  </r>
  <r>
    <x v="797"/>
    <x v="0"/>
    <s v="No"/>
    <x v="3"/>
    <x v="1"/>
    <s v="Yes"/>
    <n v="9988"/>
    <n v="0"/>
    <n v="179"/>
    <n v="180"/>
    <x v="0"/>
    <x v="2"/>
    <x v="0"/>
    <n v="9988"/>
    <s v="Medium"/>
    <s v="Low Risk"/>
  </r>
  <r>
    <x v="798"/>
    <x v="1"/>
    <s v="Yes"/>
    <x v="0"/>
    <x v="0"/>
    <s v="No"/>
    <n v="24659"/>
    <n v="0"/>
    <n v="499"/>
    <n v="240"/>
    <x v="1"/>
    <x v="2"/>
    <x v="0"/>
    <n v="24659"/>
    <s v="High"/>
    <s v="High Risk"/>
  </r>
  <r>
    <x v="799"/>
    <x v="1"/>
    <s v="No"/>
    <x v="3"/>
    <x v="0"/>
    <s v="No"/>
    <n v="22328"/>
    <n v="0"/>
    <n v="362"/>
    <n v="300"/>
    <x v="0"/>
    <x v="0"/>
    <x v="0"/>
    <n v="22328"/>
    <s v="High"/>
    <s v="Low Risk"/>
  </r>
  <r>
    <x v="800"/>
    <x v="0"/>
    <s v="Yes"/>
    <x v="1"/>
    <x v="0"/>
    <s v="Yes"/>
    <n v="20351"/>
    <n v="0"/>
    <n v="342"/>
    <n v="360"/>
    <x v="1"/>
    <x v="0"/>
    <x v="0"/>
    <n v="20351"/>
    <s v="High"/>
    <s v="High Risk"/>
  </r>
  <r>
    <x v="801"/>
    <x v="1"/>
    <s v="Yes"/>
    <x v="3"/>
    <x v="1"/>
    <s v="Yes"/>
    <n v="14786"/>
    <n v="0"/>
    <n v="57"/>
    <n v="300"/>
    <x v="0"/>
    <x v="2"/>
    <x v="0"/>
    <n v="14786"/>
    <s v="High"/>
    <s v="Low Risk"/>
  </r>
  <r>
    <x v="802"/>
    <x v="1"/>
    <s v="Yes"/>
    <x v="2"/>
    <x v="1"/>
    <s v="Yes"/>
    <n v="23602"/>
    <n v="0"/>
    <n v="229"/>
    <n v="120"/>
    <x v="0"/>
    <x v="0"/>
    <x v="0"/>
    <n v="23602"/>
    <s v="High"/>
    <s v="Low Risk"/>
  </r>
  <r>
    <x v="803"/>
    <x v="1"/>
    <s v="Yes"/>
    <x v="3"/>
    <x v="1"/>
    <s v="No"/>
    <n v="7086"/>
    <n v="0"/>
    <n v="396"/>
    <n v="180"/>
    <x v="1"/>
    <x v="0"/>
    <x v="1"/>
    <n v="7086"/>
    <s v="Medium"/>
    <s v="High Risk"/>
  </r>
  <r>
    <x v="804"/>
    <x v="1"/>
    <s v="No"/>
    <x v="3"/>
    <x v="1"/>
    <s v="No"/>
    <n v="8481"/>
    <n v="536"/>
    <n v="272"/>
    <n v="240"/>
    <x v="1"/>
    <x v="2"/>
    <x v="0"/>
    <n v="9017"/>
    <s v="Medium"/>
    <s v="High Risk"/>
  </r>
  <r>
    <x v="805"/>
    <x v="0"/>
    <s v="No"/>
    <x v="3"/>
    <x v="0"/>
    <s v="No"/>
    <n v="1693"/>
    <n v="10584"/>
    <n v="386"/>
    <n v="240"/>
    <x v="0"/>
    <x v="0"/>
    <x v="0"/>
    <n v="12277"/>
    <s v="High"/>
    <s v="Low Risk"/>
  </r>
  <r>
    <x v="806"/>
    <x v="1"/>
    <s v="Yes"/>
    <x v="3"/>
    <x v="1"/>
    <s v="Yes"/>
    <n v="4820"/>
    <n v="7558"/>
    <n v="252"/>
    <n v="120"/>
    <x v="0"/>
    <x v="0"/>
    <x v="0"/>
    <n v="12378"/>
    <s v="High"/>
    <s v="Low Risk"/>
  </r>
  <r>
    <x v="807"/>
    <x v="1"/>
    <s v="Yes"/>
    <x v="3"/>
    <x v="0"/>
    <s v="Yes"/>
    <n v="23016"/>
    <n v="0"/>
    <n v="531"/>
    <n v="300"/>
    <x v="0"/>
    <x v="1"/>
    <x v="0"/>
    <n v="23016"/>
    <s v="High"/>
    <s v="Low Risk"/>
  </r>
  <r>
    <x v="808"/>
    <x v="1"/>
    <s v="Yes"/>
    <x v="0"/>
    <x v="0"/>
    <s v="No"/>
    <n v="23004"/>
    <n v="14252"/>
    <n v="215"/>
    <n v="180"/>
    <x v="0"/>
    <x v="1"/>
    <x v="0"/>
    <n v="37256"/>
    <s v="High"/>
    <s v="Low Risk"/>
  </r>
  <r>
    <x v="809"/>
    <x v="0"/>
    <s v="No"/>
    <x v="1"/>
    <x v="0"/>
    <s v="Yes"/>
    <n v="10835"/>
    <n v="0"/>
    <n v="454"/>
    <n v="300"/>
    <x v="0"/>
    <x v="0"/>
    <x v="0"/>
    <n v="10835"/>
    <s v="High"/>
    <s v="Low Risk"/>
  </r>
  <r>
    <x v="810"/>
    <x v="0"/>
    <s v="Yes"/>
    <x v="3"/>
    <x v="1"/>
    <s v="Yes"/>
    <n v="15298"/>
    <n v="8512"/>
    <n v="180"/>
    <n v="240"/>
    <x v="0"/>
    <x v="1"/>
    <x v="0"/>
    <n v="23810"/>
    <s v="High"/>
    <s v="Low Risk"/>
  </r>
  <r>
    <x v="811"/>
    <x v="1"/>
    <s v="Yes"/>
    <x v="2"/>
    <x v="0"/>
    <s v="Yes"/>
    <n v="5632"/>
    <n v="3048"/>
    <n v="562"/>
    <n v="120"/>
    <x v="0"/>
    <x v="0"/>
    <x v="0"/>
    <n v="8680"/>
    <s v="Medium"/>
    <s v="Low Risk"/>
  </r>
  <r>
    <x v="812"/>
    <x v="0"/>
    <s v="No"/>
    <x v="3"/>
    <x v="0"/>
    <s v="No"/>
    <n v="17234"/>
    <n v="5242"/>
    <n v="547"/>
    <n v="120"/>
    <x v="0"/>
    <x v="0"/>
    <x v="0"/>
    <n v="22476"/>
    <s v="High"/>
    <s v="Low Risk"/>
  </r>
  <r>
    <x v="813"/>
    <x v="0"/>
    <s v="Yes"/>
    <x v="1"/>
    <x v="1"/>
    <s v="Yes"/>
    <n v="10135"/>
    <n v="0"/>
    <n v="489"/>
    <n v="180"/>
    <x v="0"/>
    <x v="0"/>
    <x v="0"/>
    <n v="10135"/>
    <s v="High"/>
    <s v="Low Risk"/>
  </r>
  <r>
    <x v="814"/>
    <x v="0"/>
    <s v="Yes"/>
    <x v="1"/>
    <x v="0"/>
    <s v="Yes"/>
    <n v="5835"/>
    <n v="0"/>
    <n v="330"/>
    <n v="180"/>
    <x v="1"/>
    <x v="1"/>
    <x v="1"/>
    <n v="5835"/>
    <s v="Medium"/>
    <s v="High Risk"/>
  </r>
  <r>
    <x v="815"/>
    <x v="0"/>
    <s v="Yes"/>
    <x v="2"/>
    <x v="0"/>
    <s v="No"/>
    <n v="14846"/>
    <n v="9101"/>
    <n v="698"/>
    <n v="180"/>
    <x v="0"/>
    <x v="1"/>
    <x v="0"/>
    <n v="23947"/>
    <s v="High"/>
    <s v="Low Risk"/>
  </r>
  <r>
    <x v="816"/>
    <x v="1"/>
    <s v="Yes"/>
    <x v="3"/>
    <x v="0"/>
    <s v="No"/>
    <n v="5106"/>
    <n v="4911"/>
    <n v="337"/>
    <n v="240"/>
    <x v="0"/>
    <x v="0"/>
    <x v="0"/>
    <n v="10017"/>
    <s v="High"/>
    <s v="Low Risk"/>
  </r>
  <r>
    <x v="817"/>
    <x v="1"/>
    <s v="Yes"/>
    <x v="1"/>
    <x v="0"/>
    <s v="Yes"/>
    <n v="3208"/>
    <n v="11320"/>
    <n v="267"/>
    <n v="240"/>
    <x v="0"/>
    <x v="2"/>
    <x v="0"/>
    <n v="14528"/>
    <s v="High"/>
    <s v="Low Risk"/>
  </r>
  <r>
    <x v="818"/>
    <x v="0"/>
    <s v="No"/>
    <x v="1"/>
    <x v="1"/>
    <s v="No"/>
    <n v="13413"/>
    <n v="5976"/>
    <n v="164"/>
    <n v="120"/>
    <x v="0"/>
    <x v="2"/>
    <x v="0"/>
    <n v="19389"/>
    <s v="High"/>
    <s v="Low Risk"/>
  </r>
  <r>
    <x v="819"/>
    <x v="0"/>
    <s v="No"/>
    <x v="0"/>
    <x v="1"/>
    <s v="No"/>
    <n v="9307"/>
    <n v="11153"/>
    <n v="265"/>
    <n v="360"/>
    <x v="0"/>
    <x v="0"/>
    <x v="0"/>
    <n v="20460"/>
    <s v="High"/>
    <s v="Low Risk"/>
  </r>
  <r>
    <x v="820"/>
    <x v="0"/>
    <s v="Yes"/>
    <x v="2"/>
    <x v="0"/>
    <s v="Yes"/>
    <n v="24590"/>
    <n v="0"/>
    <n v="126"/>
    <n v="360"/>
    <x v="0"/>
    <x v="1"/>
    <x v="0"/>
    <n v="24590"/>
    <s v="High"/>
    <s v="Low Risk"/>
  </r>
  <r>
    <x v="821"/>
    <x v="1"/>
    <s v="Yes"/>
    <x v="1"/>
    <x v="0"/>
    <s v="Yes"/>
    <n v="7781"/>
    <n v="7351"/>
    <n v="623"/>
    <n v="240"/>
    <x v="1"/>
    <x v="1"/>
    <x v="0"/>
    <n v="15132"/>
    <s v="High"/>
    <s v="High Risk"/>
  </r>
  <r>
    <x v="822"/>
    <x v="0"/>
    <s v="No"/>
    <x v="2"/>
    <x v="1"/>
    <s v="No"/>
    <n v="18662"/>
    <n v="0"/>
    <n v="220"/>
    <n v="360"/>
    <x v="0"/>
    <x v="0"/>
    <x v="0"/>
    <n v="18662"/>
    <s v="High"/>
    <s v="Low Risk"/>
  </r>
  <r>
    <x v="823"/>
    <x v="1"/>
    <s v="Yes"/>
    <x v="2"/>
    <x v="0"/>
    <s v="No"/>
    <n v="17721"/>
    <n v="0"/>
    <n v="219"/>
    <n v="300"/>
    <x v="0"/>
    <x v="1"/>
    <x v="0"/>
    <n v="17721"/>
    <s v="High"/>
    <s v="Low Risk"/>
  </r>
  <r>
    <x v="824"/>
    <x v="1"/>
    <s v="No"/>
    <x v="0"/>
    <x v="0"/>
    <s v="Yes"/>
    <n v="1617"/>
    <n v="0"/>
    <n v="656"/>
    <n v="120"/>
    <x v="1"/>
    <x v="2"/>
    <x v="1"/>
    <n v="1617"/>
    <s v="Low"/>
    <s v="High Risk"/>
  </r>
  <r>
    <x v="825"/>
    <x v="1"/>
    <s v="No"/>
    <x v="0"/>
    <x v="0"/>
    <s v="No"/>
    <n v="24708"/>
    <n v="0"/>
    <n v="225"/>
    <n v="180"/>
    <x v="0"/>
    <x v="0"/>
    <x v="0"/>
    <n v="24708"/>
    <s v="High"/>
    <s v="Low Risk"/>
  </r>
  <r>
    <x v="826"/>
    <x v="1"/>
    <s v="Yes"/>
    <x v="1"/>
    <x v="1"/>
    <s v="Yes"/>
    <n v="10361"/>
    <n v="0"/>
    <n v="304"/>
    <n v="180"/>
    <x v="0"/>
    <x v="0"/>
    <x v="0"/>
    <n v="10361"/>
    <s v="High"/>
    <s v="Low Risk"/>
  </r>
  <r>
    <x v="827"/>
    <x v="1"/>
    <s v="No"/>
    <x v="0"/>
    <x v="0"/>
    <s v="No"/>
    <n v="5878"/>
    <n v="7190"/>
    <n v="382"/>
    <n v="120"/>
    <x v="0"/>
    <x v="0"/>
    <x v="0"/>
    <n v="13068"/>
    <s v="High"/>
    <s v="Low Risk"/>
  </r>
  <r>
    <x v="828"/>
    <x v="1"/>
    <s v="Yes"/>
    <x v="0"/>
    <x v="0"/>
    <s v="No"/>
    <n v="2012"/>
    <n v="0"/>
    <n v="441"/>
    <n v="240"/>
    <x v="1"/>
    <x v="2"/>
    <x v="1"/>
    <n v="2012"/>
    <s v="Low"/>
    <s v="High Risk"/>
  </r>
  <r>
    <x v="829"/>
    <x v="0"/>
    <s v="No"/>
    <x v="1"/>
    <x v="1"/>
    <s v="No"/>
    <n v="8182"/>
    <n v="10029"/>
    <n v="209"/>
    <n v="300"/>
    <x v="0"/>
    <x v="2"/>
    <x v="0"/>
    <n v="18211"/>
    <s v="High"/>
    <s v="Low Risk"/>
  </r>
  <r>
    <x v="830"/>
    <x v="1"/>
    <s v="No"/>
    <x v="1"/>
    <x v="1"/>
    <s v="Yes"/>
    <n v="17751"/>
    <n v="3473"/>
    <n v="239"/>
    <n v="180"/>
    <x v="0"/>
    <x v="1"/>
    <x v="0"/>
    <n v="21224"/>
    <s v="High"/>
    <s v="Low Risk"/>
  </r>
  <r>
    <x v="831"/>
    <x v="0"/>
    <s v="No"/>
    <x v="2"/>
    <x v="1"/>
    <s v="Yes"/>
    <n v="7323"/>
    <n v="13893"/>
    <n v="672"/>
    <n v="180"/>
    <x v="0"/>
    <x v="0"/>
    <x v="0"/>
    <n v="21216"/>
    <s v="High"/>
    <s v="Low Risk"/>
  </r>
  <r>
    <x v="832"/>
    <x v="1"/>
    <s v="Yes"/>
    <x v="3"/>
    <x v="1"/>
    <s v="Yes"/>
    <n v="18761"/>
    <n v="0"/>
    <n v="667"/>
    <n v="120"/>
    <x v="0"/>
    <x v="0"/>
    <x v="0"/>
    <n v="18761"/>
    <s v="High"/>
    <s v="Low Risk"/>
  </r>
  <r>
    <x v="833"/>
    <x v="0"/>
    <s v="Yes"/>
    <x v="2"/>
    <x v="0"/>
    <s v="Yes"/>
    <n v="4239"/>
    <n v="0"/>
    <n v="692"/>
    <n v="360"/>
    <x v="0"/>
    <x v="0"/>
    <x v="0"/>
    <n v="4239"/>
    <s v="Low"/>
    <s v="Low Risk"/>
  </r>
  <r>
    <x v="834"/>
    <x v="0"/>
    <s v="No"/>
    <x v="2"/>
    <x v="0"/>
    <s v="Yes"/>
    <n v="17242"/>
    <n v="12946"/>
    <n v="217"/>
    <n v="240"/>
    <x v="0"/>
    <x v="0"/>
    <x v="0"/>
    <n v="30188"/>
    <s v="High"/>
    <s v="Low Risk"/>
  </r>
  <r>
    <x v="835"/>
    <x v="0"/>
    <s v="Yes"/>
    <x v="0"/>
    <x v="0"/>
    <s v="Yes"/>
    <n v="2959"/>
    <n v="2184"/>
    <n v="155"/>
    <n v="360"/>
    <x v="1"/>
    <x v="1"/>
    <x v="1"/>
    <n v="5143"/>
    <s v="Medium"/>
    <s v="High Risk"/>
  </r>
  <r>
    <x v="836"/>
    <x v="0"/>
    <s v="Yes"/>
    <x v="1"/>
    <x v="0"/>
    <s v="Yes"/>
    <n v="15496"/>
    <n v="0"/>
    <n v="411"/>
    <n v="240"/>
    <x v="0"/>
    <x v="2"/>
    <x v="0"/>
    <n v="15496"/>
    <s v="High"/>
    <s v="Low Risk"/>
  </r>
  <r>
    <x v="837"/>
    <x v="1"/>
    <s v="Yes"/>
    <x v="3"/>
    <x v="0"/>
    <s v="Yes"/>
    <n v="8857"/>
    <n v="2166"/>
    <n v="415"/>
    <n v="120"/>
    <x v="0"/>
    <x v="0"/>
    <x v="0"/>
    <n v="11023"/>
    <s v="High"/>
    <s v="Low Risk"/>
  </r>
  <r>
    <x v="838"/>
    <x v="1"/>
    <s v="Yes"/>
    <x v="2"/>
    <x v="0"/>
    <s v="Yes"/>
    <n v="15545"/>
    <n v="9191"/>
    <n v="664"/>
    <n v="180"/>
    <x v="0"/>
    <x v="0"/>
    <x v="0"/>
    <n v="24736"/>
    <s v="High"/>
    <s v="Low Risk"/>
  </r>
  <r>
    <x v="839"/>
    <x v="1"/>
    <s v="No"/>
    <x v="0"/>
    <x v="0"/>
    <s v="No"/>
    <n v="17859"/>
    <n v="11341"/>
    <n v="321"/>
    <n v="120"/>
    <x v="1"/>
    <x v="0"/>
    <x v="0"/>
    <n v="29200"/>
    <s v="High"/>
    <s v="High Risk"/>
  </r>
  <r>
    <x v="840"/>
    <x v="0"/>
    <s v="No"/>
    <x v="1"/>
    <x v="1"/>
    <s v="No"/>
    <n v="17177"/>
    <n v="0"/>
    <n v="165"/>
    <n v="360"/>
    <x v="0"/>
    <x v="2"/>
    <x v="0"/>
    <n v="17177"/>
    <s v="High"/>
    <s v="Low Risk"/>
  </r>
  <r>
    <x v="841"/>
    <x v="1"/>
    <s v="Yes"/>
    <x v="2"/>
    <x v="1"/>
    <s v="Yes"/>
    <n v="7459"/>
    <n v="13075"/>
    <n v="411"/>
    <n v="240"/>
    <x v="0"/>
    <x v="1"/>
    <x v="0"/>
    <n v="20534"/>
    <s v="High"/>
    <s v="Low Risk"/>
  </r>
  <r>
    <x v="842"/>
    <x v="1"/>
    <s v="No"/>
    <x v="1"/>
    <x v="0"/>
    <s v="No"/>
    <n v="15218"/>
    <n v="9500"/>
    <n v="601"/>
    <n v="360"/>
    <x v="0"/>
    <x v="2"/>
    <x v="0"/>
    <n v="24718"/>
    <s v="High"/>
    <s v="Low Risk"/>
  </r>
  <r>
    <x v="843"/>
    <x v="0"/>
    <s v="No"/>
    <x v="2"/>
    <x v="1"/>
    <s v="Yes"/>
    <n v="24538"/>
    <n v="0"/>
    <n v="420"/>
    <n v="120"/>
    <x v="0"/>
    <x v="0"/>
    <x v="0"/>
    <n v="24538"/>
    <s v="High"/>
    <s v="Low Risk"/>
  </r>
  <r>
    <x v="844"/>
    <x v="1"/>
    <s v="No"/>
    <x v="1"/>
    <x v="0"/>
    <s v="Yes"/>
    <n v="12947"/>
    <n v="0"/>
    <n v="351"/>
    <n v="300"/>
    <x v="0"/>
    <x v="2"/>
    <x v="0"/>
    <n v="12947"/>
    <s v="High"/>
    <s v="Low Risk"/>
  </r>
  <r>
    <x v="845"/>
    <x v="1"/>
    <s v="Yes"/>
    <x v="1"/>
    <x v="0"/>
    <s v="Yes"/>
    <n v="6015"/>
    <n v="0"/>
    <n v="436"/>
    <n v="120"/>
    <x v="0"/>
    <x v="1"/>
    <x v="0"/>
    <n v="6015"/>
    <s v="Medium"/>
    <s v="Low Risk"/>
  </r>
  <r>
    <x v="846"/>
    <x v="1"/>
    <s v="Yes"/>
    <x v="2"/>
    <x v="0"/>
    <s v="No"/>
    <n v="20961"/>
    <n v="0"/>
    <n v="80"/>
    <n v="180"/>
    <x v="0"/>
    <x v="0"/>
    <x v="0"/>
    <n v="20961"/>
    <s v="High"/>
    <s v="Low Risk"/>
  </r>
  <r>
    <x v="847"/>
    <x v="0"/>
    <s v="Yes"/>
    <x v="2"/>
    <x v="1"/>
    <s v="Yes"/>
    <n v="7477"/>
    <n v="0"/>
    <n v="590"/>
    <n v="240"/>
    <x v="0"/>
    <x v="2"/>
    <x v="0"/>
    <n v="7477"/>
    <s v="Medium"/>
    <s v="Low Risk"/>
  </r>
  <r>
    <x v="848"/>
    <x v="1"/>
    <s v="No"/>
    <x v="2"/>
    <x v="1"/>
    <s v="Yes"/>
    <n v="6608"/>
    <n v="0"/>
    <n v="668"/>
    <n v="180"/>
    <x v="0"/>
    <x v="0"/>
    <x v="0"/>
    <n v="6608"/>
    <s v="Medium"/>
    <s v="Low Risk"/>
  </r>
  <r>
    <x v="849"/>
    <x v="1"/>
    <s v="No"/>
    <x v="3"/>
    <x v="1"/>
    <s v="No"/>
    <n v="24744"/>
    <n v="4224"/>
    <n v="210"/>
    <n v="240"/>
    <x v="1"/>
    <x v="2"/>
    <x v="0"/>
    <n v="28968"/>
    <s v="High"/>
    <s v="High Risk"/>
  </r>
  <r>
    <x v="850"/>
    <x v="1"/>
    <s v="Yes"/>
    <x v="1"/>
    <x v="1"/>
    <s v="Yes"/>
    <n v="8673"/>
    <n v="0"/>
    <n v="622"/>
    <n v="360"/>
    <x v="1"/>
    <x v="2"/>
    <x v="0"/>
    <n v="8673"/>
    <s v="Medium"/>
    <s v="High Risk"/>
  </r>
  <r>
    <x v="851"/>
    <x v="1"/>
    <s v="No"/>
    <x v="0"/>
    <x v="1"/>
    <s v="No"/>
    <n v="6900"/>
    <n v="1395"/>
    <n v="484"/>
    <n v="180"/>
    <x v="0"/>
    <x v="0"/>
    <x v="0"/>
    <n v="8295"/>
    <s v="Medium"/>
    <s v="Low Risk"/>
  </r>
  <r>
    <x v="852"/>
    <x v="0"/>
    <s v="No"/>
    <x v="0"/>
    <x v="0"/>
    <s v="Yes"/>
    <n v="10747"/>
    <n v="0"/>
    <n v="116"/>
    <n v="180"/>
    <x v="0"/>
    <x v="1"/>
    <x v="0"/>
    <n v="10747"/>
    <s v="High"/>
    <s v="Low Risk"/>
  </r>
  <r>
    <x v="853"/>
    <x v="0"/>
    <s v="Yes"/>
    <x v="2"/>
    <x v="0"/>
    <s v="No"/>
    <n v="4286"/>
    <n v="0"/>
    <n v="627"/>
    <n v="300"/>
    <x v="0"/>
    <x v="1"/>
    <x v="0"/>
    <n v="4286"/>
    <s v="Low"/>
    <s v="Low Risk"/>
  </r>
  <r>
    <x v="854"/>
    <x v="0"/>
    <s v="No"/>
    <x v="2"/>
    <x v="1"/>
    <s v="No"/>
    <n v="14546"/>
    <n v="0"/>
    <n v="372"/>
    <n v="300"/>
    <x v="0"/>
    <x v="0"/>
    <x v="0"/>
    <n v="14546"/>
    <s v="High"/>
    <s v="Low Risk"/>
  </r>
  <r>
    <x v="855"/>
    <x v="0"/>
    <s v="No"/>
    <x v="3"/>
    <x v="0"/>
    <s v="Yes"/>
    <n v="2276"/>
    <n v="10120"/>
    <n v="538"/>
    <n v="360"/>
    <x v="1"/>
    <x v="0"/>
    <x v="0"/>
    <n v="12396"/>
    <s v="High"/>
    <s v="High Risk"/>
  </r>
  <r>
    <x v="856"/>
    <x v="1"/>
    <s v="Yes"/>
    <x v="1"/>
    <x v="1"/>
    <s v="Yes"/>
    <n v="22011"/>
    <n v="0"/>
    <n v="270"/>
    <n v="180"/>
    <x v="0"/>
    <x v="0"/>
    <x v="0"/>
    <n v="22011"/>
    <s v="High"/>
    <s v="Low Risk"/>
  </r>
  <r>
    <x v="857"/>
    <x v="1"/>
    <s v="No"/>
    <x v="1"/>
    <x v="1"/>
    <s v="No"/>
    <n v="13306"/>
    <n v="10714"/>
    <n v="90"/>
    <n v="300"/>
    <x v="0"/>
    <x v="2"/>
    <x v="0"/>
    <n v="24020"/>
    <s v="High"/>
    <s v="Low Risk"/>
  </r>
  <r>
    <x v="858"/>
    <x v="0"/>
    <s v="Yes"/>
    <x v="3"/>
    <x v="0"/>
    <s v="Yes"/>
    <n v="6173"/>
    <n v="13055"/>
    <n v="610"/>
    <n v="120"/>
    <x v="0"/>
    <x v="1"/>
    <x v="0"/>
    <n v="19228"/>
    <s v="High"/>
    <s v="Low Risk"/>
  </r>
  <r>
    <x v="859"/>
    <x v="1"/>
    <s v="Yes"/>
    <x v="0"/>
    <x v="0"/>
    <s v="Yes"/>
    <n v="10678"/>
    <n v="9945"/>
    <n v="411"/>
    <n v="120"/>
    <x v="0"/>
    <x v="2"/>
    <x v="0"/>
    <n v="20623"/>
    <s v="High"/>
    <s v="Low Risk"/>
  </r>
  <r>
    <x v="860"/>
    <x v="1"/>
    <s v="No"/>
    <x v="3"/>
    <x v="1"/>
    <s v="No"/>
    <n v="22808"/>
    <n v="0"/>
    <n v="632"/>
    <n v="300"/>
    <x v="0"/>
    <x v="1"/>
    <x v="0"/>
    <n v="22808"/>
    <s v="High"/>
    <s v="Low Risk"/>
  </r>
  <r>
    <x v="861"/>
    <x v="1"/>
    <s v="No"/>
    <x v="1"/>
    <x v="1"/>
    <s v="No"/>
    <n v="18292"/>
    <n v="14341"/>
    <n v="432"/>
    <n v="120"/>
    <x v="0"/>
    <x v="2"/>
    <x v="0"/>
    <n v="32633"/>
    <s v="High"/>
    <s v="Low Risk"/>
  </r>
  <r>
    <x v="862"/>
    <x v="1"/>
    <s v="No"/>
    <x v="2"/>
    <x v="0"/>
    <s v="Yes"/>
    <n v="24429"/>
    <n v="0"/>
    <n v="208"/>
    <n v="120"/>
    <x v="0"/>
    <x v="0"/>
    <x v="0"/>
    <n v="24429"/>
    <s v="High"/>
    <s v="Low Risk"/>
  </r>
  <r>
    <x v="863"/>
    <x v="1"/>
    <s v="Yes"/>
    <x v="1"/>
    <x v="1"/>
    <s v="No"/>
    <n v="23426"/>
    <n v="2031"/>
    <n v="527"/>
    <n v="300"/>
    <x v="0"/>
    <x v="1"/>
    <x v="0"/>
    <n v="25457"/>
    <s v="High"/>
    <s v="Low Risk"/>
  </r>
  <r>
    <x v="864"/>
    <x v="0"/>
    <s v="Yes"/>
    <x v="1"/>
    <x v="0"/>
    <s v="No"/>
    <n v="15692"/>
    <n v="3768"/>
    <n v="386"/>
    <n v="120"/>
    <x v="0"/>
    <x v="2"/>
    <x v="0"/>
    <n v="19460"/>
    <s v="High"/>
    <s v="Low Risk"/>
  </r>
  <r>
    <x v="865"/>
    <x v="1"/>
    <s v="Yes"/>
    <x v="3"/>
    <x v="0"/>
    <s v="No"/>
    <n v="16395"/>
    <n v="0"/>
    <n v="531"/>
    <n v="180"/>
    <x v="0"/>
    <x v="1"/>
    <x v="0"/>
    <n v="16395"/>
    <s v="High"/>
    <s v="Low Risk"/>
  </r>
  <r>
    <x v="866"/>
    <x v="0"/>
    <s v="No"/>
    <x v="2"/>
    <x v="1"/>
    <s v="No"/>
    <n v="17012"/>
    <n v="0"/>
    <n v="266"/>
    <n v="120"/>
    <x v="1"/>
    <x v="2"/>
    <x v="0"/>
    <n v="17012"/>
    <s v="High"/>
    <s v="High Risk"/>
  </r>
  <r>
    <x v="867"/>
    <x v="1"/>
    <s v="No"/>
    <x v="0"/>
    <x v="0"/>
    <s v="Yes"/>
    <n v="6144"/>
    <n v="1634"/>
    <n v="464"/>
    <n v="120"/>
    <x v="0"/>
    <x v="2"/>
    <x v="0"/>
    <n v="7778"/>
    <s v="Medium"/>
    <s v="Low Risk"/>
  </r>
  <r>
    <x v="868"/>
    <x v="1"/>
    <s v="No"/>
    <x v="1"/>
    <x v="1"/>
    <s v="Yes"/>
    <n v="3261"/>
    <n v="2014"/>
    <n v="400"/>
    <n v="240"/>
    <x v="0"/>
    <x v="1"/>
    <x v="0"/>
    <n v="5275"/>
    <s v="Medium"/>
    <s v="Low Risk"/>
  </r>
  <r>
    <x v="869"/>
    <x v="1"/>
    <s v="No"/>
    <x v="3"/>
    <x v="0"/>
    <s v="No"/>
    <n v="13122"/>
    <n v="11852"/>
    <n v="60"/>
    <n v="360"/>
    <x v="1"/>
    <x v="2"/>
    <x v="0"/>
    <n v="24974"/>
    <s v="High"/>
    <s v="High Risk"/>
  </r>
  <r>
    <x v="870"/>
    <x v="0"/>
    <s v="Yes"/>
    <x v="1"/>
    <x v="1"/>
    <s v="No"/>
    <n v="1964"/>
    <n v="2965"/>
    <n v="201"/>
    <n v="300"/>
    <x v="1"/>
    <x v="0"/>
    <x v="1"/>
    <n v="4929"/>
    <s v="Low"/>
    <s v="High Risk"/>
  </r>
  <r>
    <x v="871"/>
    <x v="1"/>
    <s v="No"/>
    <x v="2"/>
    <x v="1"/>
    <s v="Yes"/>
    <n v="22284"/>
    <n v="0"/>
    <n v="87"/>
    <n v="180"/>
    <x v="0"/>
    <x v="0"/>
    <x v="0"/>
    <n v="22284"/>
    <s v="High"/>
    <s v="Low Risk"/>
  </r>
  <r>
    <x v="872"/>
    <x v="1"/>
    <s v="Yes"/>
    <x v="3"/>
    <x v="0"/>
    <s v="No"/>
    <n v="8373"/>
    <n v="0"/>
    <n v="429"/>
    <n v="240"/>
    <x v="0"/>
    <x v="1"/>
    <x v="0"/>
    <n v="8373"/>
    <s v="Medium"/>
    <s v="Low Risk"/>
  </r>
  <r>
    <x v="873"/>
    <x v="0"/>
    <s v="No"/>
    <x v="3"/>
    <x v="1"/>
    <s v="No"/>
    <n v="13025"/>
    <n v="6270"/>
    <n v="585"/>
    <n v="240"/>
    <x v="0"/>
    <x v="0"/>
    <x v="0"/>
    <n v="19295"/>
    <s v="High"/>
    <s v="Low Risk"/>
  </r>
  <r>
    <x v="874"/>
    <x v="1"/>
    <s v="No"/>
    <x v="0"/>
    <x v="0"/>
    <s v="Yes"/>
    <n v="19285"/>
    <n v="7641"/>
    <n v="341"/>
    <n v="300"/>
    <x v="0"/>
    <x v="2"/>
    <x v="0"/>
    <n v="26926"/>
    <s v="High"/>
    <s v="Low Risk"/>
  </r>
  <r>
    <x v="875"/>
    <x v="0"/>
    <s v="Yes"/>
    <x v="2"/>
    <x v="0"/>
    <s v="Yes"/>
    <n v="21693"/>
    <n v="0"/>
    <n v="558"/>
    <n v="360"/>
    <x v="1"/>
    <x v="0"/>
    <x v="0"/>
    <n v="21693"/>
    <s v="High"/>
    <s v="High Risk"/>
  </r>
  <r>
    <x v="876"/>
    <x v="1"/>
    <s v="Yes"/>
    <x v="0"/>
    <x v="1"/>
    <s v="Yes"/>
    <n v="8803"/>
    <n v="13228"/>
    <n v="614"/>
    <n v="300"/>
    <x v="0"/>
    <x v="1"/>
    <x v="0"/>
    <n v="22031"/>
    <s v="High"/>
    <s v="Low Risk"/>
  </r>
  <r>
    <x v="877"/>
    <x v="0"/>
    <s v="No"/>
    <x v="3"/>
    <x v="1"/>
    <s v="No"/>
    <n v="1749"/>
    <n v="0"/>
    <n v="569"/>
    <n v="240"/>
    <x v="0"/>
    <x v="2"/>
    <x v="1"/>
    <n v="1749"/>
    <s v="Low"/>
    <s v="Low Risk"/>
  </r>
  <r>
    <x v="878"/>
    <x v="1"/>
    <s v="No"/>
    <x v="3"/>
    <x v="0"/>
    <s v="Yes"/>
    <n v="15084"/>
    <n v="0"/>
    <n v="76"/>
    <n v="180"/>
    <x v="1"/>
    <x v="2"/>
    <x v="0"/>
    <n v="15084"/>
    <s v="High"/>
    <s v="High Risk"/>
  </r>
  <r>
    <x v="879"/>
    <x v="1"/>
    <s v="No"/>
    <x v="1"/>
    <x v="1"/>
    <s v="Yes"/>
    <n v="19710"/>
    <n v="0"/>
    <n v="681"/>
    <n v="300"/>
    <x v="1"/>
    <x v="2"/>
    <x v="0"/>
    <n v="19710"/>
    <s v="High"/>
    <s v="High Risk"/>
  </r>
  <r>
    <x v="880"/>
    <x v="1"/>
    <s v="Yes"/>
    <x v="3"/>
    <x v="0"/>
    <s v="No"/>
    <n v="11924"/>
    <n v="0"/>
    <n v="497"/>
    <n v="180"/>
    <x v="0"/>
    <x v="0"/>
    <x v="0"/>
    <n v="11924"/>
    <s v="High"/>
    <s v="Low Risk"/>
  </r>
  <r>
    <x v="881"/>
    <x v="0"/>
    <s v="No"/>
    <x v="0"/>
    <x v="0"/>
    <s v="No"/>
    <n v="8176"/>
    <n v="0"/>
    <n v="76"/>
    <n v="300"/>
    <x v="0"/>
    <x v="2"/>
    <x v="0"/>
    <n v="8176"/>
    <s v="Medium"/>
    <s v="Low Risk"/>
  </r>
  <r>
    <x v="882"/>
    <x v="0"/>
    <s v="Yes"/>
    <x v="2"/>
    <x v="1"/>
    <s v="Yes"/>
    <n v="5777"/>
    <n v="7933"/>
    <n v="241"/>
    <n v="180"/>
    <x v="0"/>
    <x v="0"/>
    <x v="0"/>
    <n v="13710"/>
    <s v="High"/>
    <s v="Low Risk"/>
  </r>
  <r>
    <x v="883"/>
    <x v="1"/>
    <s v="Yes"/>
    <x v="1"/>
    <x v="1"/>
    <s v="No"/>
    <n v="23102"/>
    <n v="1347"/>
    <n v="134"/>
    <n v="180"/>
    <x v="0"/>
    <x v="2"/>
    <x v="0"/>
    <n v="24449"/>
    <s v="High"/>
    <s v="Low Risk"/>
  </r>
  <r>
    <x v="884"/>
    <x v="0"/>
    <s v="Yes"/>
    <x v="3"/>
    <x v="0"/>
    <s v="Yes"/>
    <n v="6147"/>
    <n v="5127"/>
    <n v="234"/>
    <n v="120"/>
    <x v="0"/>
    <x v="1"/>
    <x v="0"/>
    <n v="11274"/>
    <s v="High"/>
    <s v="Low Risk"/>
  </r>
  <r>
    <x v="885"/>
    <x v="0"/>
    <s v="No"/>
    <x v="2"/>
    <x v="1"/>
    <s v="Yes"/>
    <n v="15057"/>
    <n v="1705"/>
    <n v="690"/>
    <n v="120"/>
    <x v="0"/>
    <x v="1"/>
    <x v="0"/>
    <n v="16762"/>
    <s v="High"/>
    <s v="Low Risk"/>
  </r>
  <r>
    <x v="886"/>
    <x v="1"/>
    <s v="No"/>
    <x v="3"/>
    <x v="0"/>
    <s v="Yes"/>
    <n v="11289"/>
    <n v="0"/>
    <n v="630"/>
    <n v="360"/>
    <x v="1"/>
    <x v="0"/>
    <x v="0"/>
    <n v="11289"/>
    <s v="High"/>
    <s v="High Risk"/>
  </r>
  <r>
    <x v="887"/>
    <x v="1"/>
    <s v="No"/>
    <x v="3"/>
    <x v="0"/>
    <s v="Yes"/>
    <n v="18596"/>
    <n v="12651"/>
    <n v="174"/>
    <n v="180"/>
    <x v="0"/>
    <x v="2"/>
    <x v="0"/>
    <n v="31247"/>
    <s v="High"/>
    <s v="Low Risk"/>
  </r>
  <r>
    <x v="888"/>
    <x v="0"/>
    <s v="Yes"/>
    <x v="1"/>
    <x v="1"/>
    <s v="Yes"/>
    <n v="8609"/>
    <n v="983"/>
    <n v="191"/>
    <n v="180"/>
    <x v="0"/>
    <x v="2"/>
    <x v="0"/>
    <n v="9592"/>
    <s v="Medium"/>
    <s v="Low Risk"/>
  </r>
  <r>
    <x v="889"/>
    <x v="0"/>
    <s v="No"/>
    <x v="0"/>
    <x v="1"/>
    <s v="Yes"/>
    <n v="4513"/>
    <n v="6210"/>
    <n v="528"/>
    <n v="300"/>
    <x v="0"/>
    <x v="1"/>
    <x v="0"/>
    <n v="10723"/>
    <s v="High"/>
    <s v="Low Risk"/>
  </r>
  <r>
    <x v="890"/>
    <x v="0"/>
    <s v="No"/>
    <x v="1"/>
    <x v="0"/>
    <s v="No"/>
    <n v="14372"/>
    <n v="2185"/>
    <n v="219"/>
    <n v="180"/>
    <x v="1"/>
    <x v="1"/>
    <x v="0"/>
    <n v="16557"/>
    <s v="High"/>
    <s v="High Risk"/>
  </r>
  <r>
    <x v="891"/>
    <x v="1"/>
    <s v="No"/>
    <x v="3"/>
    <x v="1"/>
    <s v="No"/>
    <n v="21911"/>
    <n v="2262"/>
    <n v="489"/>
    <n v="180"/>
    <x v="0"/>
    <x v="1"/>
    <x v="0"/>
    <n v="24173"/>
    <s v="High"/>
    <s v="Low Risk"/>
  </r>
  <r>
    <x v="892"/>
    <x v="0"/>
    <s v="No"/>
    <x v="1"/>
    <x v="0"/>
    <s v="No"/>
    <n v="20730"/>
    <n v="7214"/>
    <n v="668"/>
    <n v="360"/>
    <x v="0"/>
    <x v="0"/>
    <x v="0"/>
    <n v="27944"/>
    <s v="High"/>
    <s v="Low Risk"/>
  </r>
  <r>
    <x v="893"/>
    <x v="0"/>
    <s v="Yes"/>
    <x v="0"/>
    <x v="1"/>
    <s v="Yes"/>
    <n v="13222"/>
    <n v="0"/>
    <n v="270"/>
    <n v="240"/>
    <x v="0"/>
    <x v="1"/>
    <x v="0"/>
    <n v="13222"/>
    <s v="High"/>
    <s v="Low Risk"/>
  </r>
  <r>
    <x v="894"/>
    <x v="0"/>
    <s v="Yes"/>
    <x v="0"/>
    <x v="0"/>
    <s v="No"/>
    <n v="8504"/>
    <n v="8124"/>
    <n v="288"/>
    <n v="360"/>
    <x v="0"/>
    <x v="1"/>
    <x v="0"/>
    <n v="16628"/>
    <s v="High"/>
    <s v="Low Risk"/>
  </r>
  <r>
    <x v="895"/>
    <x v="0"/>
    <s v="Yes"/>
    <x v="2"/>
    <x v="1"/>
    <s v="Yes"/>
    <n v="20307"/>
    <n v="11088"/>
    <n v="495"/>
    <n v="240"/>
    <x v="1"/>
    <x v="0"/>
    <x v="0"/>
    <n v="31395"/>
    <s v="High"/>
    <s v="High Risk"/>
  </r>
  <r>
    <x v="896"/>
    <x v="0"/>
    <s v="Yes"/>
    <x v="3"/>
    <x v="1"/>
    <s v="Yes"/>
    <n v="10492"/>
    <n v="0"/>
    <n v="177"/>
    <n v="300"/>
    <x v="0"/>
    <x v="1"/>
    <x v="0"/>
    <n v="10492"/>
    <s v="High"/>
    <s v="Low Risk"/>
  </r>
  <r>
    <x v="897"/>
    <x v="1"/>
    <s v="Yes"/>
    <x v="2"/>
    <x v="1"/>
    <s v="Yes"/>
    <n v="22591"/>
    <n v="0"/>
    <n v="522"/>
    <n v="240"/>
    <x v="0"/>
    <x v="1"/>
    <x v="0"/>
    <n v="22591"/>
    <s v="High"/>
    <s v="Low Risk"/>
  </r>
  <r>
    <x v="898"/>
    <x v="0"/>
    <s v="Yes"/>
    <x v="0"/>
    <x v="0"/>
    <s v="Yes"/>
    <n v="16897"/>
    <n v="2058"/>
    <n v="358"/>
    <n v="240"/>
    <x v="0"/>
    <x v="1"/>
    <x v="0"/>
    <n v="18955"/>
    <s v="High"/>
    <s v="Low Risk"/>
  </r>
  <r>
    <x v="899"/>
    <x v="1"/>
    <s v="Yes"/>
    <x v="0"/>
    <x v="1"/>
    <s v="Yes"/>
    <n v="14388"/>
    <n v="5389"/>
    <n v="555"/>
    <n v="120"/>
    <x v="1"/>
    <x v="2"/>
    <x v="0"/>
    <n v="19777"/>
    <s v="High"/>
    <s v="High Risk"/>
  </r>
  <r>
    <x v="900"/>
    <x v="0"/>
    <s v="Yes"/>
    <x v="1"/>
    <x v="0"/>
    <s v="Yes"/>
    <n v="6046"/>
    <n v="2222"/>
    <n v="496"/>
    <n v="180"/>
    <x v="0"/>
    <x v="0"/>
    <x v="0"/>
    <n v="8268"/>
    <s v="Medium"/>
    <s v="Low Risk"/>
  </r>
  <r>
    <x v="901"/>
    <x v="1"/>
    <s v="Yes"/>
    <x v="2"/>
    <x v="1"/>
    <s v="Yes"/>
    <n v="5130"/>
    <n v="1286"/>
    <n v="126"/>
    <n v="240"/>
    <x v="0"/>
    <x v="2"/>
    <x v="0"/>
    <n v="6416"/>
    <s v="Medium"/>
    <s v="Low Risk"/>
  </r>
  <r>
    <x v="902"/>
    <x v="1"/>
    <s v="No"/>
    <x v="1"/>
    <x v="0"/>
    <s v="No"/>
    <n v="5428"/>
    <n v="2569"/>
    <n v="201"/>
    <n v="360"/>
    <x v="1"/>
    <x v="1"/>
    <x v="0"/>
    <n v="7997"/>
    <s v="Medium"/>
    <s v="High Risk"/>
  </r>
  <r>
    <x v="903"/>
    <x v="1"/>
    <s v="Yes"/>
    <x v="1"/>
    <x v="1"/>
    <s v="No"/>
    <n v="10692"/>
    <n v="5774"/>
    <n v="281"/>
    <n v="120"/>
    <x v="0"/>
    <x v="1"/>
    <x v="0"/>
    <n v="16466"/>
    <s v="High"/>
    <s v="Low Risk"/>
  </r>
  <r>
    <x v="904"/>
    <x v="0"/>
    <s v="No"/>
    <x v="1"/>
    <x v="0"/>
    <s v="Yes"/>
    <n v="3962"/>
    <n v="0"/>
    <n v="267"/>
    <n v="120"/>
    <x v="0"/>
    <x v="1"/>
    <x v="1"/>
    <n v="3962"/>
    <s v="Low"/>
    <s v="Low Risk"/>
  </r>
  <r>
    <x v="905"/>
    <x v="1"/>
    <s v="Yes"/>
    <x v="3"/>
    <x v="0"/>
    <s v="No"/>
    <n v="8337"/>
    <n v="13836"/>
    <n v="369"/>
    <n v="300"/>
    <x v="0"/>
    <x v="2"/>
    <x v="0"/>
    <n v="22173"/>
    <s v="High"/>
    <s v="Low Risk"/>
  </r>
  <r>
    <x v="906"/>
    <x v="0"/>
    <s v="Yes"/>
    <x v="1"/>
    <x v="1"/>
    <s v="No"/>
    <n v="16325"/>
    <n v="0"/>
    <n v="459"/>
    <n v="180"/>
    <x v="0"/>
    <x v="1"/>
    <x v="0"/>
    <n v="16325"/>
    <s v="High"/>
    <s v="Low Risk"/>
  </r>
  <r>
    <x v="907"/>
    <x v="0"/>
    <s v="No"/>
    <x v="2"/>
    <x v="0"/>
    <s v="No"/>
    <n v="5011"/>
    <n v="0"/>
    <n v="296"/>
    <n v="120"/>
    <x v="1"/>
    <x v="0"/>
    <x v="1"/>
    <n v="5011"/>
    <s v="Medium"/>
    <s v="High Risk"/>
  </r>
  <r>
    <x v="908"/>
    <x v="1"/>
    <s v="Yes"/>
    <x v="3"/>
    <x v="1"/>
    <s v="No"/>
    <n v="10202"/>
    <n v="0"/>
    <n v="412"/>
    <n v="300"/>
    <x v="0"/>
    <x v="1"/>
    <x v="0"/>
    <n v="10202"/>
    <s v="High"/>
    <s v="Low Risk"/>
  </r>
  <r>
    <x v="909"/>
    <x v="1"/>
    <s v="No"/>
    <x v="2"/>
    <x v="1"/>
    <s v="No"/>
    <n v="13616"/>
    <n v="0"/>
    <n v="441"/>
    <n v="300"/>
    <x v="0"/>
    <x v="0"/>
    <x v="0"/>
    <n v="13616"/>
    <s v="High"/>
    <s v="Low Risk"/>
  </r>
  <r>
    <x v="910"/>
    <x v="1"/>
    <s v="Yes"/>
    <x v="0"/>
    <x v="1"/>
    <s v="No"/>
    <n v="5077"/>
    <n v="0"/>
    <n v="304"/>
    <n v="120"/>
    <x v="0"/>
    <x v="0"/>
    <x v="1"/>
    <n v="5077"/>
    <s v="Medium"/>
    <s v="Low Risk"/>
  </r>
  <r>
    <x v="911"/>
    <x v="0"/>
    <s v="No"/>
    <x v="1"/>
    <x v="0"/>
    <s v="Yes"/>
    <n v="10526"/>
    <n v="4210"/>
    <n v="451"/>
    <n v="300"/>
    <x v="0"/>
    <x v="2"/>
    <x v="0"/>
    <n v="14736"/>
    <s v="High"/>
    <s v="Low Risk"/>
  </r>
  <r>
    <x v="912"/>
    <x v="1"/>
    <s v="No"/>
    <x v="1"/>
    <x v="0"/>
    <s v="Yes"/>
    <n v="12891"/>
    <n v="10934"/>
    <n v="660"/>
    <n v="240"/>
    <x v="0"/>
    <x v="0"/>
    <x v="0"/>
    <n v="23825"/>
    <s v="High"/>
    <s v="Low Risk"/>
  </r>
  <r>
    <x v="913"/>
    <x v="0"/>
    <s v="No"/>
    <x v="0"/>
    <x v="0"/>
    <s v="Yes"/>
    <n v="11825"/>
    <n v="0"/>
    <n v="220"/>
    <n v="180"/>
    <x v="0"/>
    <x v="1"/>
    <x v="0"/>
    <n v="11825"/>
    <s v="High"/>
    <s v="Low Risk"/>
  </r>
  <r>
    <x v="914"/>
    <x v="0"/>
    <s v="Yes"/>
    <x v="3"/>
    <x v="1"/>
    <s v="No"/>
    <n v="2182"/>
    <n v="3408"/>
    <n v="128"/>
    <n v="180"/>
    <x v="0"/>
    <x v="0"/>
    <x v="0"/>
    <n v="5590"/>
    <s v="Medium"/>
    <s v="Low Risk"/>
  </r>
  <r>
    <x v="915"/>
    <x v="1"/>
    <s v="No"/>
    <x v="2"/>
    <x v="1"/>
    <s v="Yes"/>
    <n v="16985"/>
    <n v="0"/>
    <n v="67"/>
    <n v="360"/>
    <x v="0"/>
    <x v="1"/>
    <x v="0"/>
    <n v="16985"/>
    <s v="High"/>
    <s v="Low Risk"/>
  </r>
  <r>
    <x v="916"/>
    <x v="0"/>
    <s v="Yes"/>
    <x v="1"/>
    <x v="0"/>
    <s v="Yes"/>
    <n v="11481"/>
    <n v="13670"/>
    <n v="513"/>
    <n v="300"/>
    <x v="0"/>
    <x v="2"/>
    <x v="0"/>
    <n v="25151"/>
    <s v="High"/>
    <s v="Low Risk"/>
  </r>
  <r>
    <x v="917"/>
    <x v="1"/>
    <s v="No"/>
    <x v="0"/>
    <x v="1"/>
    <s v="No"/>
    <n v="1944"/>
    <n v="14061"/>
    <n v="358"/>
    <n v="240"/>
    <x v="1"/>
    <x v="2"/>
    <x v="0"/>
    <n v="16005"/>
    <s v="High"/>
    <s v="High Risk"/>
  </r>
  <r>
    <x v="918"/>
    <x v="1"/>
    <s v="Yes"/>
    <x v="0"/>
    <x v="0"/>
    <s v="Yes"/>
    <n v="14945"/>
    <n v="0"/>
    <n v="195"/>
    <n v="240"/>
    <x v="0"/>
    <x v="0"/>
    <x v="0"/>
    <n v="14945"/>
    <s v="High"/>
    <s v="Low Risk"/>
  </r>
  <r>
    <x v="919"/>
    <x v="1"/>
    <s v="No"/>
    <x v="1"/>
    <x v="0"/>
    <s v="Yes"/>
    <n v="13879"/>
    <n v="0"/>
    <n v="330"/>
    <n v="360"/>
    <x v="1"/>
    <x v="1"/>
    <x v="0"/>
    <n v="13879"/>
    <s v="High"/>
    <s v="High Risk"/>
  </r>
  <r>
    <x v="920"/>
    <x v="0"/>
    <s v="No"/>
    <x v="0"/>
    <x v="1"/>
    <s v="No"/>
    <n v="20805"/>
    <n v="7336"/>
    <n v="366"/>
    <n v="180"/>
    <x v="0"/>
    <x v="2"/>
    <x v="0"/>
    <n v="28141"/>
    <s v="High"/>
    <s v="Low Risk"/>
  </r>
  <r>
    <x v="921"/>
    <x v="1"/>
    <s v="Yes"/>
    <x v="3"/>
    <x v="1"/>
    <s v="No"/>
    <n v="10950"/>
    <n v="0"/>
    <n v="560"/>
    <n v="180"/>
    <x v="0"/>
    <x v="0"/>
    <x v="0"/>
    <n v="10950"/>
    <s v="High"/>
    <s v="Low Risk"/>
  </r>
  <r>
    <x v="922"/>
    <x v="1"/>
    <s v="Yes"/>
    <x v="0"/>
    <x v="1"/>
    <s v="No"/>
    <n v="3617"/>
    <n v="13603"/>
    <n v="65"/>
    <n v="300"/>
    <x v="0"/>
    <x v="1"/>
    <x v="0"/>
    <n v="17220"/>
    <s v="High"/>
    <s v="Low Risk"/>
  </r>
  <r>
    <x v="923"/>
    <x v="0"/>
    <s v="Yes"/>
    <x v="3"/>
    <x v="1"/>
    <s v="Yes"/>
    <n v="15600"/>
    <n v="0"/>
    <n v="101"/>
    <n v="240"/>
    <x v="0"/>
    <x v="1"/>
    <x v="0"/>
    <n v="15600"/>
    <s v="High"/>
    <s v="Low Risk"/>
  </r>
  <r>
    <x v="924"/>
    <x v="0"/>
    <s v="Yes"/>
    <x v="0"/>
    <x v="0"/>
    <s v="Yes"/>
    <n v="15657"/>
    <n v="0"/>
    <n v="347"/>
    <n v="180"/>
    <x v="0"/>
    <x v="1"/>
    <x v="0"/>
    <n v="15657"/>
    <s v="High"/>
    <s v="Low Risk"/>
  </r>
  <r>
    <x v="925"/>
    <x v="0"/>
    <s v="No"/>
    <x v="3"/>
    <x v="1"/>
    <s v="Yes"/>
    <n v="10060"/>
    <n v="5448"/>
    <n v="227"/>
    <n v="360"/>
    <x v="0"/>
    <x v="1"/>
    <x v="0"/>
    <n v="15508"/>
    <s v="High"/>
    <s v="Low Risk"/>
  </r>
  <r>
    <x v="926"/>
    <x v="0"/>
    <s v="Yes"/>
    <x v="0"/>
    <x v="0"/>
    <s v="No"/>
    <n v="19662"/>
    <n v="3768"/>
    <n v="362"/>
    <n v="120"/>
    <x v="0"/>
    <x v="2"/>
    <x v="0"/>
    <n v="23430"/>
    <s v="High"/>
    <s v="Low Risk"/>
  </r>
  <r>
    <x v="927"/>
    <x v="1"/>
    <s v="Yes"/>
    <x v="3"/>
    <x v="1"/>
    <s v="Yes"/>
    <n v="6041"/>
    <n v="9127"/>
    <n v="370"/>
    <n v="360"/>
    <x v="1"/>
    <x v="2"/>
    <x v="0"/>
    <n v="15168"/>
    <s v="High"/>
    <s v="High Risk"/>
  </r>
  <r>
    <x v="928"/>
    <x v="1"/>
    <s v="No"/>
    <x v="0"/>
    <x v="1"/>
    <s v="No"/>
    <n v="15279"/>
    <n v="7221"/>
    <n v="78"/>
    <n v="360"/>
    <x v="0"/>
    <x v="1"/>
    <x v="0"/>
    <n v="22500"/>
    <s v="High"/>
    <s v="Low Risk"/>
  </r>
  <r>
    <x v="929"/>
    <x v="0"/>
    <s v="Yes"/>
    <x v="0"/>
    <x v="0"/>
    <s v="No"/>
    <n v="5670"/>
    <n v="10672"/>
    <n v="104"/>
    <n v="300"/>
    <x v="0"/>
    <x v="2"/>
    <x v="0"/>
    <n v="16342"/>
    <s v="High"/>
    <s v="Low Risk"/>
  </r>
  <r>
    <x v="930"/>
    <x v="0"/>
    <s v="No"/>
    <x v="3"/>
    <x v="0"/>
    <s v="Yes"/>
    <n v="3292"/>
    <n v="0"/>
    <n v="391"/>
    <n v="360"/>
    <x v="0"/>
    <x v="1"/>
    <x v="1"/>
    <n v="3292"/>
    <s v="Low"/>
    <s v="Low Risk"/>
  </r>
  <r>
    <x v="931"/>
    <x v="1"/>
    <s v="No"/>
    <x v="2"/>
    <x v="0"/>
    <s v="Yes"/>
    <n v="24489"/>
    <n v="0"/>
    <n v="625"/>
    <n v="300"/>
    <x v="0"/>
    <x v="2"/>
    <x v="0"/>
    <n v="24489"/>
    <s v="High"/>
    <s v="Low Risk"/>
  </r>
  <r>
    <x v="932"/>
    <x v="0"/>
    <s v="No"/>
    <x v="0"/>
    <x v="0"/>
    <s v="No"/>
    <n v="21936"/>
    <n v="0"/>
    <n v="167"/>
    <n v="120"/>
    <x v="0"/>
    <x v="2"/>
    <x v="0"/>
    <n v="21936"/>
    <s v="High"/>
    <s v="Low Risk"/>
  </r>
  <r>
    <x v="933"/>
    <x v="0"/>
    <s v="Yes"/>
    <x v="1"/>
    <x v="0"/>
    <s v="Yes"/>
    <n v="17023"/>
    <n v="903"/>
    <n v="450"/>
    <n v="120"/>
    <x v="1"/>
    <x v="1"/>
    <x v="0"/>
    <n v="17926"/>
    <s v="High"/>
    <s v="High Risk"/>
  </r>
  <r>
    <x v="934"/>
    <x v="1"/>
    <s v="No"/>
    <x v="1"/>
    <x v="0"/>
    <s v="No"/>
    <n v="21578"/>
    <n v="11662"/>
    <n v="681"/>
    <n v="120"/>
    <x v="0"/>
    <x v="2"/>
    <x v="0"/>
    <n v="33240"/>
    <s v="High"/>
    <s v="Low Risk"/>
  </r>
  <r>
    <x v="935"/>
    <x v="0"/>
    <s v="Yes"/>
    <x v="1"/>
    <x v="0"/>
    <s v="Yes"/>
    <n v="18261"/>
    <n v="0"/>
    <n v="537"/>
    <n v="300"/>
    <x v="0"/>
    <x v="2"/>
    <x v="0"/>
    <n v="18261"/>
    <s v="High"/>
    <s v="Low Risk"/>
  </r>
  <r>
    <x v="936"/>
    <x v="0"/>
    <s v="No"/>
    <x v="0"/>
    <x v="1"/>
    <s v="No"/>
    <n v="14142"/>
    <n v="0"/>
    <n v="525"/>
    <n v="300"/>
    <x v="1"/>
    <x v="0"/>
    <x v="0"/>
    <n v="14142"/>
    <s v="High"/>
    <s v="High Risk"/>
  </r>
  <r>
    <x v="937"/>
    <x v="0"/>
    <s v="No"/>
    <x v="3"/>
    <x v="0"/>
    <s v="No"/>
    <n v="1861"/>
    <n v="10011"/>
    <n v="84"/>
    <n v="360"/>
    <x v="0"/>
    <x v="1"/>
    <x v="0"/>
    <n v="11872"/>
    <s v="High"/>
    <s v="Low Risk"/>
  </r>
  <r>
    <x v="938"/>
    <x v="0"/>
    <s v="No"/>
    <x v="3"/>
    <x v="1"/>
    <s v="Yes"/>
    <n v="6687"/>
    <n v="0"/>
    <n v="407"/>
    <n v="360"/>
    <x v="0"/>
    <x v="0"/>
    <x v="0"/>
    <n v="6687"/>
    <s v="Medium"/>
    <s v="Low Risk"/>
  </r>
  <r>
    <x v="939"/>
    <x v="0"/>
    <s v="Yes"/>
    <x v="0"/>
    <x v="1"/>
    <s v="No"/>
    <n v="24935"/>
    <n v="0"/>
    <n v="335"/>
    <n v="240"/>
    <x v="1"/>
    <x v="0"/>
    <x v="0"/>
    <n v="24935"/>
    <s v="High"/>
    <s v="High Risk"/>
  </r>
  <r>
    <x v="940"/>
    <x v="1"/>
    <s v="No"/>
    <x v="3"/>
    <x v="0"/>
    <s v="No"/>
    <n v="5740"/>
    <n v="11932"/>
    <n v="652"/>
    <n v="360"/>
    <x v="0"/>
    <x v="2"/>
    <x v="0"/>
    <n v="17672"/>
    <s v="High"/>
    <s v="Low Risk"/>
  </r>
  <r>
    <x v="941"/>
    <x v="1"/>
    <s v="Yes"/>
    <x v="2"/>
    <x v="0"/>
    <s v="Yes"/>
    <n v="9092"/>
    <n v="0"/>
    <n v="561"/>
    <n v="300"/>
    <x v="0"/>
    <x v="0"/>
    <x v="0"/>
    <n v="9092"/>
    <s v="Medium"/>
    <s v="Low Risk"/>
  </r>
  <r>
    <x v="942"/>
    <x v="0"/>
    <s v="Yes"/>
    <x v="1"/>
    <x v="1"/>
    <s v="No"/>
    <n v="3609"/>
    <n v="1514"/>
    <n v="167"/>
    <n v="120"/>
    <x v="1"/>
    <x v="0"/>
    <x v="1"/>
    <n v="5123"/>
    <s v="Medium"/>
    <s v="High Risk"/>
  </r>
  <r>
    <x v="943"/>
    <x v="1"/>
    <s v="No"/>
    <x v="2"/>
    <x v="0"/>
    <s v="No"/>
    <n v="5027"/>
    <n v="11947"/>
    <n v="436"/>
    <n v="180"/>
    <x v="1"/>
    <x v="2"/>
    <x v="0"/>
    <n v="16974"/>
    <s v="High"/>
    <s v="High Risk"/>
  </r>
  <r>
    <x v="944"/>
    <x v="0"/>
    <s v="Yes"/>
    <x v="0"/>
    <x v="1"/>
    <s v="No"/>
    <n v="23744"/>
    <n v="0"/>
    <n v="256"/>
    <n v="180"/>
    <x v="0"/>
    <x v="2"/>
    <x v="0"/>
    <n v="23744"/>
    <s v="High"/>
    <s v="Low Risk"/>
  </r>
  <r>
    <x v="945"/>
    <x v="0"/>
    <s v="Yes"/>
    <x v="2"/>
    <x v="0"/>
    <s v="Yes"/>
    <n v="2589"/>
    <n v="0"/>
    <n v="55"/>
    <n v="240"/>
    <x v="0"/>
    <x v="2"/>
    <x v="1"/>
    <n v="2589"/>
    <s v="Low"/>
    <s v="Low Risk"/>
  </r>
  <r>
    <x v="946"/>
    <x v="0"/>
    <s v="No"/>
    <x v="1"/>
    <x v="1"/>
    <s v="Yes"/>
    <n v="8298"/>
    <n v="9844"/>
    <n v="562"/>
    <n v="240"/>
    <x v="0"/>
    <x v="2"/>
    <x v="0"/>
    <n v="18142"/>
    <s v="High"/>
    <s v="Low Risk"/>
  </r>
  <r>
    <x v="947"/>
    <x v="0"/>
    <s v="Yes"/>
    <x v="3"/>
    <x v="1"/>
    <s v="No"/>
    <n v="3822"/>
    <n v="0"/>
    <n v="180"/>
    <n v="360"/>
    <x v="0"/>
    <x v="0"/>
    <x v="1"/>
    <n v="3822"/>
    <s v="Low"/>
    <s v="Low Risk"/>
  </r>
  <r>
    <x v="948"/>
    <x v="1"/>
    <s v="Yes"/>
    <x v="2"/>
    <x v="1"/>
    <s v="Yes"/>
    <n v="8840"/>
    <n v="13956"/>
    <n v="307"/>
    <n v="300"/>
    <x v="0"/>
    <x v="0"/>
    <x v="0"/>
    <n v="22796"/>
    <s v="High"/>
    <s v="Low Risk"/>
  </r>
  <r>
    <x v="949"/>
    <x v="0"/>
    <s v="No"/>
    <x v="2"/>
    <x v="0"/>
    <s v="No"/>
    <n v="14581"/>
    <n v="0"/>
    <n v="609"/>
    <n v="120"/>
    <x v="0"/>
    <x v="1"/>
    <x v="0"/>
    <n v="14581"/>
    <s v="High"/>
    <s v="Low Risk"/>
  </r>
  <r>
    <x v="950"/>
    <x v="0"/>
    <s v="Yes"/>
    <x v="0"/>
    <x v="1"/>
    <s v="No"/>
    <n v="8070"/>
    <n v="0"/>
    <n v="192"/>
    <n v="180"/>
    <x v="0"/>
    <x v="2"/>
    <x v="0"/>
    <n v="8070"/>
    <s v="Medium"/>
    <s v="Low Risk"/>
  </r>
  <r>
    <x v="951"/>
    <x v="1"/>
    <s v="Yes"/>
    <x v="1"/>
    <x v="1"/>
    <s v="Yes"/>
    <n v="19976"/>
    <n v="0"/>
    <n v="404"/>
    <n v="120"/>
    <x v="1"/>
    <x v="2"/>
    <x v="0"/>
    <n v="19976"/>
    <s v="High"/>
    <s v="High Risk"/>
  </r>
  <r>
    <x v="952"/>
    <x v="0"/>
    <s v="No"/>
    <x v="1"/>
    <x v="1"/>
    <s v="Yes"/>
    <n v="4909"/>
    <n v="1083"/>
    <n v="569"/>
    <n v="180"/>
    <x v="0"/>
    <x v="1"/>
    <x v="0"/>
    <n v="5992"/>
    <s v="Medium"/>
    <s v="Low Risk"/>
  </r>
  <r>
    <x v="953"/>
    <x v="1"/>
    <s v="No"/>
    <x v="1"/>
    <x v="0"/>
    <s v="Yes"/>
    <n v="2363"/>
    <n v="0"/>
    <n v="597"/>
    <n v="360"/>
    <x v="1"/>
    <x v="2"/>
    <x v="1"/>
    <n v="2363"/>
    <s v="Low"/>
    <s v="High Risk"/>
  </r>
  <r>
    <x v="954"/>
    <x v="0"/>
    <s v="No"/>
    <x v="2"/>
    <x v="1"/>
    <s v="No"/>
    <n v="24288"/>
    <n v="2551"/>
    <n v="487"/>
    <n v="360"/>
    <x v="0"/>
    <x v="1"/>
    <x v="0"/>
    <n v="26839"/>
    <s v="High"/>
    <s v="Low Risk"/>
  </r>
  <r>
    <x v="955"/>
    <x v="0"/>
    <s v="No"/>
    <x v="0"/>
    <x v="0"/>
    <s v="No"/>
    <n v="15804"/>
    <n v="0"/>
    <n v="287"/>
    <n v="120"/>
    <x v="0"/>
    <x v="0"/>
    <x v="0"/>
    <n v="15804"/>
    <s v="High"/>
    <s v="Low Risk"/>
  </r>
  <r>
    <x v="956"/>
    <x v="1"/>
    <s v="Yes"/>
    <x v="2"/>
    <x v="0"/>
    <s v="Yes"/>
    <n v="4010"/>
    <n v="0"/>
    <n v="499"/>
    <n v="180"/>
    <x v="0"/>
    <x v="1"/>
    <x v="0"/>
    <n v="4010"/>
    <s v="Low"/>
    <s v="Low Risk"/>
  </r>
  <r>
    <x v="957"/>
    <x v="1"/>
    <s v="Yes"/>
    <x v="0"/>
    <x v="0"/>
    <s v="No"/>
    <n v="17186"/>
    <n v="0"/>
    <n v="128"/>
    <n v="120"/>
    <x v="0"/>
    <x v="2"/>
    <x v="0"/>
    <n v="17186"/>
    <s v="High"/>
    <s v="Low Risk"/>
  </r>
  <r>
    <x v="958"/>
    <x v="0"/>
    <s v="No"/>
    <x v="0"/>
    <x v="0"/>
    <s v="No"/>
    <n v="24867"/>
    <n v="5459"/>
    <n v="614"/>
    <n v="240"/>
    <x v="1"/>
    <x v="0"/>
    <x v="0"/>
    <n v="30326"/>
    <s v="High"/>
    <s v="High Risk"/>
  </r>
  <r>
    <x v="959"/>
    <x v="1"/>
    <s v="No"/>
    <x v="2"/>
    <x v="0"/>
    <s v="No"/>
    <n v="14962"/>
    <n v="12058"/>
    <n v="336"/>
    <n v="120"/>
    <x v="0"/>
    <x v="0"/>
    <x v="0"/>
    <n v="27020"/>
    <s v="High"/>
    <s v="Low Risk"/>
  </r>
  <r>
    <x v="960"/>
    <x v="0"/>
    <s v="No"/>
    <x v="1"/>
    <x v="0"/>
    <s v="No"/>
    <n v="6151"/>
    <n v="0"/>
    <n v="500"/>
    <n v="300"/>
    <x v="1"/>
    <x v="0"/>
    <x v="1"/>
    <n v="6151"/>
    <s v="Medium"/>
    <s v="High Risk"/>
  </r>
  <r>
    <x v="961"/>
    <x v="1"/>
    <s v="Yes"/>
    <x v="0"/>
    <x v="1"/>
    <s v="No"/>
    <n v="11343"/>
    <n v="0"/>
    <n v="111"/>
    <n v="240"/>
    <x v="1"/>
    <x v="1"/>
    <x v="0"/>
    <n v="11343"/>
    <s v="High"/>
    <s v="High Risk"/>
  </r>
  <r>
    <x v="962"/>
    <x v="1"/>
    <s v="Yes"/>
    <x v="3"/>
    <x v="1"/>
    <s v="No"/>
    <n v="2955"/>
    <n v="0"/>
    <n v="438"/>
    <n v="180"/>
    <x v="0"/>
    <x v="2"/>
    <x v="1"/>
    <n v="2955"/>
    <s v="Low"/>
    <s v="Low Risk"/>
  </r>
  <r>
    <x v="963"/>
    <x v="0"/>
    <s v="No"/>
    <x v="2"/>
    <x v="1"/>
    <s v="Yes"/>
    <n v="21447"/>
    <n v="12861"/>
    <n v="318"/>
    <n v="360"/>
    <x v="0"/>
    <x v="0"/>
    <x v="0"/>
    <n v="34308"/>
    <s v="High"/>
    <s v="Low Risk"/>
  </r>
  <r>
    <x v="964"/>
    <x v="1"/>
    <s v="No"/>
    <x v="3"/>
    <x v="0"/>
    <s v="Yes"/>
    <n v="19630"/>
    <n v="6858"/>
    <n v="597"/>
    <n v="300"/>
    <x v="0"/>
    <x v="2"/>
    <x v="0"/>
    <n v="26488"/>
    <s v="High"/>
    <s v="Low Risk"/>
  </r>
  <r>
    <x v="965"/>
    <x v="1"/>
    <s v="Yes"/>
    <x v="3"/>
    <x v="1"/>
    <s v="Yes"/>
    <n v="5821"/>
    <n v="748"/>
    <n v="330"/>
    <n v="120"/>
    <x v="1"/>
    <x v="2"/>
    <x v="1"/>
    <n v="6569"/>
    <s v="Medium"/>
    <s v="High Risk"/>
  </r>
  <r>
    <x v="966"/>
    <x v="1"/>
    <s v="No"/>
    <x v="3"/>
    <x v="0"/>
    <s v="No"/>
    <n v="13352"/>
    <n v="4903"/>
    <n v="672"/>
    <n v="120"/>
    <x v="0"/>
    <x v="2"/>
    <x v="0"/>
    <n v="18255"/>
    <s v="High"/>
    <s v="Low Risk"/>
  </r>
  <r>
    <x v="967"/>
    <x v="1"/>
    <s v="No"/>
    <x v="1"/>
    <x v="1"/>
    <s v="No"/>
    <n v="2065"/>
    <n v="0"/>
    <n v="527"/>
    <n v="120"/>
    <x v="1"/>
    <x v="1"/>
    <x v="1"/>
    <n v="2065"/>
    <s v="Low"/>
    <s v="High Risk"/>
  </r>
  <r>
    <x v="968"/>
    <x v="0"/>
    <s v="No"/>
    <x v="2"/>
    <x v="0"/>
    <s v="No"/>
    <n v="21499"/>
    <n v="9534"/>
    <n v="115"/>
    <n v="300"/>
    <x v="0"/>
    <x v="1"/>
    <x v="0"/>
    <n v="31033"/>
    <s v="High"/>
    <s v="Low Risk"/>
  </r>
  <r>
    <x v="969"/>
    <x v="1"/>
    <s v="No"/>
    <x v="1"/>
    <x v="0"/>
    <s v="Yes"/>
    <n v="6313"/>
    <n v="0"/>
    <n v="288"/>
    <n v="120"/>
    <x v="0"/>
    <x v="0"/>
    <x v="0"/>
    <n v="6313"/>
    <s v="Medium"/>
    <s v="Low Risk"/>
  </r>
  <r>
    <x v="970"/>
    <x v="1"/>
    <s v="No"/>
    <x v="2"/>
    <x v="0"/>
    <s v="Yes"/>
    <n v="24914"/>
    <n v="4744"/>
    <n v="66"/>
    <n v="240"/>
    <x v="0"/>
    <x v="0"/>
    <x v="0"/>
    <n v="29658"/>
    <s v="High"/>
    <s v="Low Risk"/>
  </r>
  <r>
    <x v="971"/>
    <x v="0"/>
    <s v="No"/>
    <x v="2"/>
    <x v="0"/>
    <s v="No"/>
    <n v="5208"/>
    <n v="0"/>
    <n v="292"/>
    <n v="180"/>
    <x v="0"/>
    <x v="1"/>
    <x v="0"/>
    <n v="5208"/>
    <s v="Medium"/>
    <s v="Low Risk"/>
  </r>
  <r>
    <x v="972"/>
    <x v="1"/>
    <s v="Yes"/>
    <x v="3"/>
    <x v="1"/>
    <s v="Yes"/>
    <n v="2309"/>
    <n v="5850"/>
    <n v="393"/>
    <n v="300"/>
    <x v="1"/>
    <x v="1"/>
    <x v="1"/>
    <n v="8159"/>
    <s v="Medium"/>
    <s v="High Risk"/>
  </r>
  <r>
    <x v="973"/>
    <x v="1"/>
    <s v="No"/>
    <x v="2"/>
    <x v="0"/>
    <s v="No"/>
    <n v="2961"/>
    <n v="0"/>
    <n v="655"/>
    <n v="120"/>
    <x v="0"/>
    <x v="0"/>
    <x v="1"/>
    <n v="2961"/>
    <s v="Low"/>
    <s v="Low Risk"/>
  </r>
  <r>
    <x v="974"/>
    <x v="1"/>
    <s v="No"/>
    <x v="1"/>
    <x v="1"/>
    <s v="Yes"/>
    <n v="23030"/>
    <n v="0"/>
    <n v="440"/>
    <n v="120"/>
    <x v="1"/>
    <x v="0"/>
    <x v="0"/>
    <n v="23030"/>
    <s v="High"/>
    <s v="High Risk"/>
  </r>
  <r>
    <x v="975"/>
    <x v="1"/>
    <s v="Yes"/>
    <x v="2"/>
    <x v="1"/>
    <s v="No"/>
    <n v="11885"/>
    <n v="0"/>
    <n v="639"/>
    <n v="240"/>
    <x v="1"/>
    <x v="1"/>
    <x v="0"/>
    <n v="11885"/>
    <s v="High"/>
    <s v="High Risk"/>
  </r>
  <r>
    <x v="976"/>
    <x v="0"/>
    <s v="No"/>
    <x v="1"/>
    <x v="1"/>
    <s v="No"/>
    <n v="5281"/>
    <n v="0"/>
    <n v="505"/>
    <n v="300"/>
    <x v="0"/>
    <x v="1"/>
    <x v="0"/>
    <n v="5281"/>
    <s v="Medium"/>
    <s v="Low Risk"/>
  </r>
  <r>
    <x v="977"/>
    <x v="0"/>
    <s v="No"/>
    <x v="3"/>
    <x v="0"/>
    <s v="No"/>
    <n v="15224"/>
    <n v="0"/>
    <n v="600"/>
    <n v="180"/>
    <x v="0"/>
    <x v="1"/>
    <x v="0"/>
    <n v="15224"/>
    <s v="High"/>
    <s v="Low Risk"/>
  </r>
  <r>
    <x v="978"/>
    <x v="0"/>
    <s v="No"/>
    <x v="0"/>
    <x v="1"/>
    <s v="No"/>
    <n v="5365"/>
    <n v="1835"/>
    <n v="481"/>
    <n v="360"/>
    <x v="1"/>
    <x v="2"/>
    <x v="1"/>
    <n v="7200"/>
    <s v="Medium"/>
    <s v="High Risk"/>
  </r>
  <r>
    <x v="979"/>
    <x v="1"/>
    <s v="Yes"/>
    <x v="1"/>
    <x v="1"/>
    <s v="Yes"/>
    <n v="6964"/>
    <n v="2479"/>
    <n v="319"/>
    <n v="360"/>
    <x v="0"/>
    <x v="1"/>
    <x v="0"/>
    <n v="9443"/>
    <s v="Medium"/>
    <s v="Low Risk"/>
  </r>
  <r>
    <x v="980"/>
    <x v="0"/>
    <s v="Yes"/>
    <x v="2"/>
    <x v="1"/>
    <s v="Yes"/>
    <n v="24111"/>
    <n v="0"/>
    <n v="185"/>
    <n v="360"/>
    <x v="1"/>
    <x v="1"/>
    <x v="0"/>
    <n v="24111"/>
    <s v="High"/>
    <s v="High Risk"/>
  </r>
  <r>
    <x v="981"/>
    <x v="1"/>
    <s v="No"/>
    <x v="1"/>
    <x v="1"/>
    <s v="Yes"/>
    <n v="24830"/>
    <n v="0"/>
    <n v="394"/>
    <n v="240"/>
    <x v="0"/>
    <x v="2"/>
    <x v="0"/>
    <n v="24830"/>
    <s v="High"/>
    <s v="Low Risk"/>
  </r>
  <r>
    <x v="982"/>
    <x v="0"/>
    <s v="Yes"/>
    <x v="2"/>
    <x v="1"/>
    <s v="No"/>
    <n v="14898"/>
    <n v="10835"/>
    <n v="496"/>
    <n v="240"/>
    <x v="0"/>
    <x v="2"/>
    <x v="0"/>
    <n v="25733"/>
    <s v="High"/>
    <s v="Low Risk"/>
  </r>
  <r>
    <x v="983"/>
    <x v="0"/>
    <s v="Yes"/>
    <x v="2"/>
    <x v="0"/>
    <s v="Yes"/>
    <n v="20949"/>
    <n v="10216"/>
    <n v="514"/>
    <n v="300"/>
    <x v="0"/>
    <x v="0"/>
    <x v="0"/>
    <n v="31165"/>
    <s v="High"/>
    <s v="Low Risk"/>
  </r>
  <r>
    <x v="984"/>
    <x v="1"/>
    <s v="Yes"/>
    <x v="1"/>
    <x v="1"/>
    <s v="No"/>
    <n v="12677"/>
    <n v="1291"/>
    <n v="342"/>
    <n v="240"/>
    <x v="0"/>
    <x v="0"/>
    <x v="0"/>
    <n v="13968"/>
    <s v="High"/>
    <s v="Low Risk"/>
  </r>
  <r>
    <x v="985"/>
    <x v="0"/>
    <s v="Yes"/>
    <x v="1"/>
    <x v="1"/>
    <s v="No"/>
    <n v="20346"/>
    <n v="14911"/>
    <n v="151"/>
    <n v="240"/>
    <x v="0"/>
    <x v="0"/>
    <x v="0"/>
    <n v="35257"/>
    <s v="High"/>
    <s v="Low Risk"/>
  </r>
  <r>
    <x v="986"/>
    <x v="1"/>
    <s v="No"/>
    <x v="3"/>
    <x v="1"/>
    <s v="Yes"/>
    <n v="7048"/>
    <n v="5226"/>
    <n v="670"/>
    <n v="120"/>
    <x v="1"/>
    <x v="2"/>
    <x v="0"/>
    <n v="12274"/>
    <s v="High"/>
    <s v="High Risk"/>
  </r>
  <r>
    <x v="987"/>
    <x v="1"/>
    <s v="Yes"/>
    <x v="2"/>
    <x v="0"/>
    <s v="Yes"/>
    <n v="2396"/>
    <n v="0"/>
    <n v="602"/>
    <n v="360"/>
    <x v="1"/>
    <x v="0"/>
    <x v="1"/>
    <n v="2396"/>
    <s v="Low"/>
    <s v="High Risk"/>
  </r>
  <r>
    <x v="988"/>
    <x v="1"/>
    <s v="Yes"/>
    <x v="0"/>
    <x v="0"/>
    <s v="No"/>
    <n v="20215"/>
    <n v="7487"/>
    <n v="583"/>
    <n v="180"/>
    <x v="1"/>
    <x v="1"/>
    <x v="0"/>
    <n v="27702"/>
    <s v="High"/>
    <s v="High Risk"/>
  </r>
  <r>
    <x v="989"/>
    <x v="0"/>
    <s v="Yes"/>
    <x v="3"/>
    <x v="1"/>
    <s v="No"/>
    <n v="10119"/>
    <n v="0"/>
    <n v="335"/>
    <n v="120"/>
    <x v="1"/>
    <x v="0"/>
    <x v="0"/>
    <n v="10119"/>
    <s v="High"/>
    <s v="High Risk"/>
  </r>
  <r>
    <x v="990"/>
    <x v="0"/>
    <s v="Yes"/>
    <x v="0"/>
    <x v="0"/>
    <s v="No"/>
    <n v="10547"/>
    <n v="0"/>
    <n v="372"/>
    <n v="120"/>
    <x v="0"/>
    <x v="2"/>
    <x v="0"/>
    <n v="10547"/>
    <s v="High"/>
    <s v="Low Risk"/>
  </r>
  <r>
    <x v="991"/>
    <x v="1"/>
    <s v="Yes"/>
    <x v="2"/>
    <x v="0"/>
    <s v="Yes"/>
    <n v="5985"/>
    <n v="10106"/>
    <n v="275"/>
    <n v="180"/>
    <x v="0"/>
    <x v="0"/>
    <x v="0"/>
    <n v="16091"/>
    <s v="High"/>
    <s v="Low Risk"/>
  </r>
  <r>
    <x v="992"/>
    <x v="1"/>
    <s v="Yes"/>
    <x v="3"/>
    <x v="1"/>
    <s v="Yes"/>
    <n v="8006"/>
    <n v="0"/>
    <n v="578"/>
    <n v="180"/>
    <x v="0"/>
    <x v="0"/>
    <x v="0"/>
    <n v="8006"/>
    <s v="Medium"/>
    <s v="Low Risk"/>
  </r>
  <r>
    <x v="993"/>
    <x v="1"/>
    <s v="Yes"/>
    <x v="1"/>
    <x v="0"/>
    <s v="No"/>
    <n v="24043"/>
    <n v="4810"/>
    <n v="696"/>
    <n v="360"/>
    <x v="0"/>
    <x v="1"/>
    <x v="0"/>
    <n v="28853"/>
    <s v="High"/>
    <s v="Low Risk"/>
  </r>
  <r>
    <x v="994"/>
    <x v="1"/>
    <s v="Yes"/>
    <x v="0"/>
    <x v="0"/>
    <s v="No"/>
    <n v="23388"/>
    <n v="8447"/>
    <n v="695"/>
    <n v="300"/>
    <x v="0"/>
    <x v="2"/>
    <x v="0"/>
    <n v="31835"/>
    <s v="High"/>
    <s v="Low Risk"/>
  </r>
  <r>
    <x v="995"/>
    <x v="1"/>
    <s v="No"/>
    <x v="2"/>
    <x v="0"/>
    <s v="Yes"/>
    <n v="10913"/>
    <n v="7374"/>
    <n v="383"/>
    <n v="180"/>
    <x v="0"/>
    <x v="0"/>
    <x v="0"/>
    <n v="18287"/>
    <s v="High"/>
    <s v="Low Risk"/>
  </r>
  <r>
    <x v="996"/>
    <x v="0"/>
    <s v="No"/>
    <x v="0"/>
    <x v="0"/>
    <s v="No"/>
    <n v="24338"/>
    <n v="0"/>
    <n v="545"/>
    <n v="300"/>
    <x v="0"/>
    <x v="2"/>
    <x v="0"/>
    <n v="24338"/>
    <s v="High"/>
    <s v="Low Risk"/>
  </r>
  <r>
    <x v="997"/>
    <x v="0"/>
    <s v="Yes"/>
    <x v="0"/>
    <x v="1"/>
    <s v="Yes"/>
    <n v="14902"/>
    <n v="1496"/>
    <n v="317"/>
    <n v="240"/>
    <x v="0"/>
    <x v="1"/>
    <x v="0"/>
    <n v="16398"/>
    <s v="High"/>
    <s v="Low Risk"/>
  </r>
  <r>
    <x v="998"/>
    <x v="1"/>
    <s v="No"/>
    <x v="0"/>
    <x v="0"/>
    <s v="No"/>
    <n v="17409"/>
    <n v="0"/>
    <n v="397"/>
    <n v="120"/>
    <x v="0"/>
    <x v="1"/>
    <x v="0"/>
    <n v="17409"/>
    <s v="High"/>
    <s v="Low Risk"/>
  </r>
  <r>
    <x v="999"/>
    <x v="0"/>
    <s v="Yes"/>
    <x v="1"/>
    <x v="0"/>
    <s v="No"/>
    <n v="5734"/>
    <n v="0"/>
    <n v="71"/>
    <n v="300"/>
    <x v="0"/>
    <x v="2"/>
    <x v="0"/>
    <n v="5734"/>
    <s v="Medium"/>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F310A-18DD-4D9D-9EDD-0E97457562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 Loan Status">
  <location ref="A1:B4" firstHeaderRow="1" firstDataRow="1"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4">
        <item x="2"/>
        <item x="1"/>
        <item x="0"/>
        <item t="default"/>
      </items>
    </pivotField>
    <pivotField axis="axisRow" showAll="0">
      <items count="3">
        <item x="0"/>
        <item x="1"/>
        <item t="default"/>
      </items>
    </pivotField>
    <pivotField showAll="0"/>
    <pivotField showAll="0"/>
    <pivotField showAll="0"/>
  </pivotFields>
  <rowFields count="1">
    <field x="12"/>
  </rowFields>
  <rowItems count="3">
    <i>
      <x/>
    </i>
    <i>
      <x v="1"/>
    </i>
    <i t="grand">
      <x/>
    </i>
  </rowItems>
  <colItems count="1">
    <i/>
  </colItems>
  <dataFields count="1">
    <dataField name="Count of Loan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12" count="1" selected="0">
            <x v="0"/>
          </reference>
        </references>
      </pivotArea>
    </chartFormat>
    <chartFormat chart="27" format="9">
      <pivotArea type="data" outline="0" fieldPosition="0">
        <references count="2">
          <reference field="4294967294" count="1" selected="0">
            <x v="0"/>
          </reference>
          <reference field="12" count="1" selected="0">
            <x v="1"/>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12" count="1" selected="0">
            <x v="0"/>
          </reference>
        </references>
      </pivotArea>
    </chartFormat>
    <chartFormat chart="28" format="1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0135E-3BBF-4F8D-89A2-3E3F52B5E8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 Loan Status">
  <location ref="A17:D21" firstHeaderRow="1" firstDataRow="2"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4">
        <item x="2"/>
        <item x="1"/>
        <item x="0"/>
        <item t="default"/>
      </items>
    </pivotField>
    <pivotField axis="axisCol" showAll="0">
      <items count="3">
        <item x="0"/>
        <item x="1"/>
        <item t="default"/>
      </items>
    </pivotField>
    <pivotField showAll="0"/>
    <pivotField showAll="0"/>
    <pivotField showAll="0"/>
  </pivotFields>
  <rowFields count="1">
    <field x="4"/>
  </rowFields>
  <rowItems count="3">
    <i>
      <x/>
    </i>
    <i>
      <x v="1"/>
    </i>
    <i t="grand">
      <x/>
    </i>
  </rowItems>
  <colFields count="1">
    <field x="12"/>
  </colFields>
  <colItems count="3">
    <i>
      <x/>
    </i>
    <i>
      <x v="1"/>
    </i>
    <i t="grand">
      <x/>
    </i>
  </colItems>
  <dataFields count="1">
    <dataField name="Count of Loan_ID" fld="0"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22" format="6" series="1">
      <pivotArea type="data" outline="0" fieldPosition="0">
        <references count="2">
          <reference field="4294967294" count="1" selected="0">
            <x v="0"/>
          </reference>
          <reference field="12" count="1" selected="0">
            <x v="0"/>
          </reference>
        </references>
      </pivotArea>
    </chartFormat>
    <chartFormat chart="22" format="7" series="1">
      <pivotArea type="data" outline="0" fieldPosition="0">
        <references count="2">
          <reference field="4294967294" count="1" selected="0">
            <x v="0"/>
          </reference>
          <reference field="12" count="1" selected="0">
            <x v="1"/>
          </reference>
        </references>
      </pivotArea>
    </chartFormat>
    <chartFormat chart="23" format="8" series="1">
      <pivotArea type="data" outline="0" fieldPosition="0">
        <references count="2">
          <reference field="4294967294" count="1" selected="0">
            <x v="0"/>
          </reference>
          <reference field="12" count="1" selected="0">
            <x v="0"/>
          </reference>
        </references>
      </pivotArea>
    </chartFormat>
    <chartFormat chart="23"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72C67-2E18-4C5F-B001-9D99907958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Property_Area">
  <location ref="I27:L33" firstHeaderRow="1" firstDataRow="2"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axis="axisRow"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4">
        <item x="2"/>
        <item x="1"/>
        <item x="0"/>
        <item t="default"/>
      </items>
    </pivotField>
    <pivotField axis="axisCol" showAll="0">
      <items count="3">
        <item x="0"/>
        <item x="1"/>
        <item t="default"/>
      </items>
    </pivotField>
    <pivotField showAll="0"/>
    <pivotField showAll="0"/>
    <pivotField showAll="0"/>
  </pivotFields>
  <rowFields count="1">
    <field x="3"/>
  </rowFields>
  <rowItems count="5">
    <i>
      <x/>
    </i>
    <i>
      <x v="1"/>
    </i>
    <i>
      <x v="2"/>
    </i>
    <i>
      <x v="3"/>
    </i>
    <i t="grand">
      <x/>
    </i>
  </rowItems>
  <colFields count="1">
    <field x="12"/>
  </colFields>
  <colItems count="3">
    <i>
      <x/>
    </i>
    <i>
      <x v="1"/>
    </i>
    <i t="grand">
      <x/>
    </i>
  </colItems>
  <dataFields count="1">
    <dataField name="Count of Loan_ID" fld="0" subtotal="count" showDataAs="percentOfRow" baseField="3" baseItem="0" numFmtId="10"/>
  </dataFields>
  <chartFormats count="6">
    <chartFormat chart="27" format="4" series="1">
      <pivotArea type="data" outline="0" fieldPosition="0">
        <references count="2">
          <reference field="4294967294" count="1" selected="0">
            <x v="0"/>
          </reference>
          <reference field="12" count="1" selected="0">
            <x v="0"/>
          </reference>
        </references>
      </pivotArea>
    </chartFormat>
    <chartFormat chart="27" format="5" series="1">
      <pivotArea type="data" outline="0" fieldPosition="0">
        <references count="2">
          <reference field="4294967294" count="1" selected="0">
            <x v="0"/>
          </reference>
          <reference field="12" count="1" selected="0">
            <x v="1"/>
          </reference>
        </references>
      </pivotArea>
    </chartFormat>
    <chartFormat chart="42" format="6" series="1">
      <pivotArea type="data" outline="0" fieldPosition="0">
        <references count="2">
          <reference field="4294967294" count="1" selected="0">
            <x v="0"/>
          </reference>
          <reference field="12" count="1" selected="0">
            <x v="0"/>
          </reference>
        </references>
      </pivotArea>
    </chartFormat>
    <chartFormat chart="42" format="7" series="1">
      <pivotArea type="data" outline="0" fieldPosition="0">
        <references count="2">
          <reference field="4294967294" count="1" selected="0">
            <x v="0"/>
          </reference>
          <reference field="12" count="1" selected="0">
            <x v="1"/>
          </reference>
        </references>
      </pivotArea>
    </chartFormat>
    <chartFormat chart="43" format="8" series="1">
      <pivotArea type="data" outline="0" fieldPosition="0">
        <references count="2">
          <reference field="4294967294" count="1" selected="0">
            <x v="0"/>
          </reference>
          <reference field="12" count="1" selected="0">
            <x v="0"/>
          </reference>
        </references>
      </pivotArea>
    </chartFormat>
    <chartFormat chart="43"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7269E-74F3-4846-B2FE-25140E745A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 Gender">
  <location ref="A8:D12" firstHeaderRow="1" firstDataRow="2"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4">
        <item x="2"/>
        <item x="1"/>
        <item x="0"/>
        <item t="default"/>
      </items>
    </pivotField>
    <pivotField axis="axisCol" showAll="0">
      <items count="3">
        <item x="0"/>
        <item x="1"/>
        <item t="default"/>
      </items>
    </pivotField>
    <pivotField showAll="0"/>
    <pivotField showAll="0"/>
    <pivotField showAll="0"/>
  </pivotFields>
  <rowFields count="1">
    <field x="1"/>
  </rowFields>
  <rowItems count="3">
    <i>
      <x/>
    </i>
    <i>
      <x v="1"/>
    </i>
    <i t="grand">
      <x/>
    </i>
  </rowItems>
  <colFields count="1">
    <field x="12"/>
  </colFields>
  <colItems count="3">
    <i>
      <x/>
    </i>
    <i>
      <x v="1"/>
    </i>
    <i t="grand">
      <x/>
    </i>
  </colItems>
  <dataFields count="1">
    <dataField name="Count of Loan_ID" fld="0" subtotal="count" baseField="0" baseItem="0"/>
  </dataFields>
  <chartFormats count="8">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1"/>
          </reference>
        </references>
      </pivotArea>
    </chartFormat>
    <chartFormat chart="19" format="6" series="1">
      <pivotArea type="data" outline="0" fieldPosition="0">
        <references count="2">
          <reference field="4294967294" count="1" selected="0">
            <x v="0"/>
          </reference>
          <reference field="12" count="1" selected="0">
            <x v="0"/>
          </reference>
        </references>
      </pivotArea>
    </chartFormat>
    <chartFormat chart="19" format="7" series="1">
      <pivotArea type="data" outline="0" fieldPosition="0">
        <references count="2">
          <reference field="4294967294" count="1" selected="0">
            <x v="0"/>
          </reference>
          <reference field="12" count="1" selected="0">
            <x v="1"/>
          </reference>
        </references>
      </pivotArea>
    </chartFormat>
    <chartFormat chart="20" format="8" series="1">
      <pivotArea type="data" outline="0" fieldPosition="0">
        <references count="2">
          <reference field="4294967294" count="1" selected="0">
            <x v="0"/>
          </reference>
          <reference field="12" count="1" selected="0">
            <x v="0"/>
          </reference>
        </references>
      </pivotArea>
    </chartFormat>
    <chartFormat chart="20"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1243E-96DA-40AD-875F-1CAD5D6019C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Credit History ">
  <location ref="I17:L21" firstHeaderRow="1" firstDataRow="2"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items count="4">
        <item x="2"/>
        <item x="1"/>
        <item x="0"/>
        <item t="default"/>
      </items>
    </pivotField>
    <pivotField axis="axisCol" showAll="0">
      <items count="3">
        <item x="0"/>
        <item x="1"/>
        <item t="default"/>
      </items>
    </pivotField>
    <pivotField showAll="0"/>
    <pivotField showAll="0"/>
    <pivotField showAll="0"/>
  </pivotFields>
  <rowFields count="1">
    <field x="10"/>
  </rowFields>
  <rowItems count="3">
    <i>
      <x/>
    </i>
    <i>
      <x v="1"/>
    </i>
    <i t="grand">
      <x/>
    </i>
  </rowItems>
  <colFields count="1">
    <field x="12"/>
  </colFields>
  <colItems count="3">
    <i>
      <x/>
    </i>
    <i>
      <x v="1"/>
    </i>
    <i t="grand">
      <x/>
    </i>
  </colItems>
  <dataFields count="1">
    <dataField name="Count of Loan_ID" fld="0" subtotal="count" baseField="0" baseItem="0"/>
  </dataFields>
  <chartFormats count="8">
    <chartFormat chart="23" format="0" series="1">
      <pivotArea type="data" outline="0" fieldPosition="0">
        <references count="2">
          <reference field="4294967294" count="1" selected="0">
            <x v="0"/>
          </reference>
          <reference field="12" count="1" selected="0">
            <x v="0"/>
          </reference>
        </references>
      </pivotArea>
    </chartFormat>
    <chartFormat chart="23" format="1" series="1">
      <pivotArea type="data" outline="0" fieldPosition="0">
        <references count="2">
          <reference field="4294967294" count="1" selected="0">
            <x v="0"/>
          </reference>
          <reference field="12" count="1" selected="0">
            <x v="1"/>
          </reference>
        </references>
      </pivotArea>
    </chartFormat>
    <chartFormat chart="26" format="4" series="1">
      <pivotArea type="data" outline="0" fieldPosition="0">
        <references count="2">
          <reference field="4294967294" count="1" selected="0">
            <x v="0"/>
          </reference>
          <reference field="12" count="1" selected="0">
            <x v="0"/>
          </reference>
        </references>
      </pivotArea>
    </chartFormat>
    <chartFormat chart="26" format="5" series="1">
      <pivotArea type="data" outline="0" fieldPosition="0">
        <references count="2">
          <reference field="4294967294" count="1" selected="0">
            <x v="0"/>
          </reference>
          <reference field="12" count="1" selected="0">
            <x v="1"/>
          </reference>
        </references>
      </pivotArea>
    </chartFormat>
    <chartFormat chart="35" format="6" series="1">
      <pivotArea type="data" outline="0" fieldPosition="0">
        <references count="2">
          <reference field="4294967294" count="1" selected="0">
            <x v="0"/>
          </reference>
          <reference field="12" count="1" selected="0">
            <x v="0"/>
          </reference>
        </references>
      </pivotArea>
    </chartFormat>
    <chartFormat chart="35" format="7" series="1">
      <pivotArea type="data" outline="0" fieldPosition="0">
        <references count="2">
          <reference field="4294967294" count="1" selected="0">
            <x v="0"/>
          </reference>
          <reference field="12" count="1" selected="0">
            <x v="1"/>
          </reference>
        </references>
      </pivotArea>
    </chartFormat>
    <chartFormat chart="36" format="8" series="1">
      <pivotArea type="data" outline="0" fieldPosition="0">
        <references count="2">
          <reference field="4294967294" count="1" selected="0">
            <x v="0"/>
          </reference>
          <reference field="12" count="1" selected="0">
            <x v="0"/>
          </reference>
        </references>
      </pivotArea>
    </chartFormat>
    <chartFormat chart="36"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80BEBC-E522-4C62-95F9-8A0504DEB2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Property_Area">
  <location ref="I5:J9"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showAll="0"/>
    <pivotField showAll="0">
      <items count="3">
        <item x="1"/>
        <item x="0"/>
        <item t="default"/>
      </items>
    </pivotField>
    <pivotField axis="axisRow" showAll="0">
      <items count="4">
        <item x="2"/>
        <item x="1"/>
        <item x="0"/>
        <item t="default"/>
      </items>
    </pivotField>
    <pivotField showAll="0">
      <items count="3">
        <item x="0"/>
        <item x="1"/>
        <item t="default"/>
      </items>
    </pivotField>
    <pivotField showAll="0"/>
    <pivotField showAll="0"/>
    <pivotField showAll="0"/>
  </pivotFields>
  <rowFields count="1">
    <field x="11"/>
  </rowFields>
  <rowItems count="4">
    <i>
      <x/>
    </i>
    <i>
      <x v="1"/>
    </i>
    <i>
      <x v="2"/>
    </i>
    <i t="grand">
      <x/>
    </i>
  </rowItems>
  <colItems count="1">
    <i/>
  </colItems>
  <dataFields count="1">
    <dataField name="Sum of Loan Amount" fld="8" baseField="0" baseItem="0"/>
  </dataFields>
  <chartFormats count="4">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EFD3DC-BCE5-4D12-9ABF-616CD7CDBACE}" autoFormatId="16" applyNumberFormats="0" applyBorderFormats="0" applyFontFormats="0" applyPatternFormats="0" applyAlignmentFormats="0" applyWidthHeightFormats="0">
  <queryTableRefresh nextId="17">
    <queryTableFields count="16">
      <queryTableField id="1" name="Loan_ID" tableColumnId="1"/>
      <queryTableField id="2" name="Gender" tableColumnId="2"/>
      <queryTableField id="3" name="Married" tableColumnId="3"/>
      <queryTableField id="4" name="Dependents" tableColumnId="4"/>
      <queryTableField id="5" name="Education" tableColumnId="5"/>
      <queryTableField id="6" name="Self_Employed" tableColumnId="6"/>
      <queryTableField id="7" name="Applicant Income" tableColumnId="7"/>
      <queryTableField id="8" name="Co-applicant Income" tableColumnId="8"/>
      <queryTableField id="9" name="Loan Amount" tableColumnId="9"/>
      <queryTableField id="10" name="Loan_Amount_Term" tableColumnId="10"/>
      <queryTableField id="11" name="Credit_History" tableColumnId="11"/>
      <queryTableField id="12" name="Property_Area" tableColumnId="12"/>
      <queryTableField id="13" name="Loan_Status" tableColumnId="13"/>
      <queryTableField id="14" name="Total Income" tableColumnId="14"/>
      <queryTableField id="15" name="Income Group" tableColumnId="15"/>
      <queryTableField id="16" name="Risk Categor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BACA2A-63F5-4A51-B663-BE9638B81676}" sourceName="Gender">
  <pivotTables>
    <pivotTable tabId="1" name="PivotTable1"/>
    <pivotTable tabId="1" name="PivotTable2"/>
    <pivotTable tabId="1" name="PivotTable3"/>
    <pivotTable tabId="1" name="PivotTable4"/>
    <pivotTable tabId="1" name="PivotTable5"/>
    <pivotTable tabId="1" name="PivotTable6"/>
  </pivotTables>
  <data>
    <tabular pivotCacheId="9444466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28AEA9B-85EB-468F-A454-8553DD96E2B2}" sourceName="Education">
  <pivotTables>
    <pivotTable tabId="1" name="PivotTable1"/>
    <pivotTable tabId="1" name="PivotTable2"/>
    <pivotTable tabId="1" name="PivotTable3"/>
    <pivotTable tabId="1" name="PivotTable4"/>
    <pivotTable tabId="1" name="PivotTable5"/>
    <pivotTable tabId="1" name="PivotTable6"/>
  </pivotTables>
  <data>
    <tabular pivotCacheId="94444662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1" xr10:uid="{F36CFFF8-4955-4B36-9A0B-7F381B82A955}" sourceName="Loan_Status">
  <pivotTables>
    <pivotTable tabId="1" name="PivotTable1"/>
    <pivotTable tabId="1" name="PivotTable2"/>
    <pivotTable tabId="1" name="PivotTable3"/>
    <pivotTable tabId="1" name="PivotTable4"/>
    <pivotTable tabId="1" name="PivotTable5"/>
    <pivotTable tabId="1" name="PivotTable6"/>
  </pivotTables>
  <data>
    <tabular pivotCacheId="94444662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38E859D3-00F6-403A-91AF-77E4280376C0}" sourceName="Property_Area">
  <pivotTables>
    <pivotTable tabId="1" name="PivotTable1"/>
    <pivotTable tabId="1" name="PivotTable2"/>
    <pivotTable tabId="1" name="PivotTable3"/>
    <pivotTable tabId="1" name="PivotTable4"/>
    <pivotTable tabId="1" name="PivotTable5"/>
    <pivotTable tabId="1" name="PivotTable6"/>
  </pivotTables>
  <data>
    <tabular pivotCacheId="944446620">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History" xr10:uid="{45C5F48C-888E-4480-8DF7-EB393339DE98}" sourceName="Credit_History">
  <pivotTables>
    <pivotTable tabId="1" name="PivotTable5"/>
    <pivotTable tabId="1" name="PivotTable1"/>
    <pivotTable tabId="1" name="PivotTable2"/>
    <pivotTable tabId="1" name="PivotTable3"/>
    <pivotTable tabId="1" name="PivotTable4"/>
    <pivotTable tabId="1" name="PivotTable6"/>
  </pivotTables>
  <data>
    <tabular pivotCacheId="944446620">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7626C014-0C65-4DB3-BF9F-59250138D3C0}" sourceName="Loan_Status">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Status" xr10:uid="{D5DC2A1A-5F29-4974-885C-0C86E4C0004D}" cache="Slicer_Loan_Status" caption="Loan_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4C122D3-BF88-4907-8B86-3BF3D0A2BB8B}" cache="Slicer_Gender" caption="Gender" style="SlicerStyleDark1" rowHeight="248400"/>
  <slicer name="Education" xr10:uid="{53623EAD-BA91-4201-A925-A47C8C58C61B}" cache="Slicer_Education" caption="Education" style="SlicerStyleDark1" rowHeight="247650"/>
  <slicer name="Loan_Status 1" xr10:uid="{14ECF5C4-216F-4802-911A-A60A1EFD3170}" cache="Slicer_Loan_Status1" caption="Loan_Status" style="SlicerStyleDark1" rowHeight="247650"/>
  <slicer name="Property_Area" xr10:uid="{13DA4855-6AE6-411C-A2E6-A3E2F068546C}" cache="Slicer_Property_Area" caption="Property_Area" style="SlicerStyleDark1" rowHeight="247650"/>
  <slicer name="Credit_History" xr10:uid="{8492A303-4E29-40A8-ADA5-FDA06AD41DF8}" cache="Slicer_Credit_History" caption="Credit_History"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0809EC-BA63-4107-A5C2-F112B5BDD541}" name="Bank_Loan_Analysis_Dataset" displayName="Bank_Loan_Analysis_Dataset" ref="A1:P1001" tableType="queryTable">
  <autoFilter ref="A1:P1001" xr:uid="{D60809EC-BA63-4107-A5C2-F112B5BDD541}"/>
  <tableColumns count="16">
    <tableColumn id="1" xr3:uid="{308268CE-A7A4-48E2-AC46-53472C8BB3BA}" uniqueName="1" name="Loan_ID" totalsRowLabel="Total" queryTableFieldId="1" dataDxfId="9"/>
    <tableColumn id="2" xr3:uid="{50219175-5DD4-4522-94AE-9019F193DE31}" uniqueName="2" name="Gender" queryTableFieldId="2" dataDxfId="8"/>
    <tableColumn id="3" xr3:uid="{9A637B14-3C47-497E-9EB8-4AF415FCD9BB}" uniqueName="3" name="Married" queryTableFieldId="3" dataDxfId="7"/>
    <tableColumn id="4" xr3:uid="{46B4BE7E-EF65-4102-B208-F961306C762E}" uniqueName="4" name="Dependents" queryTableFieldId="4" dataDxfId="6"/>
    <tableColumn id="5" xr3:uid="{E5D03FB5-29B1-49C2-B35A-FE3BA469A2BD}" uniqueName="5" name="Education" queryTableFieldId="5" dataDxfId="5"/>
    <tableColumn id="6" xr3:uid="{A497ECEB-A97F-4AD7-8B54-3E42EEDB73D6}" uniqueName="6" name="Self_Employed" queryTableFieldId="6" dataDxfId="4"/>
    <tableColumn id="7" xr3:uid="{415D9F7B-A96E-4F6D-9E82-74CC4CEB0DCE}" uniqueName="7" name="Applicant Income" queryTableFieldId="7"/>
    <tableColumn id="8" xr3:uid="{B826BD1B-4651-49F8-8689-72AED431074E}" uniqueName="8" name="Co-applicant Income" queryTableFieldId="8"/>
    <tableColumn id="9" xr3:uid="{F36EC3A0-A9FA-4368-B49E-ED5D35A3944E}" uniqueName="9" name="Loan Amount" queryTableFieldId="9"/>
    <tableColumn id="10" xr3:uid="{853981B1-8822-4862-8D3B-9341BA714307}" uniqueName="10" name="Loan_Amount_Term" queryTableFieldId="10"/>
    <tableColumn id="11" xr3:uid="{88C99E22-D09A-43AE-8DAD-55A16B19782C}" uniqueName="11" name="Credit_History" queryTableFieldId="11"/>
    <tableColumn id="12" xr3:uid="{77C1E124-856C-4A88-8892-BCBA2A346AD7}" uniqueName="12" name="Property_Area" queryTableFieldId="12" dataDxfId="3"/>
    <tableColumn id="13" xr3:uid="{504D262B-4ADE-403B-B122-7D8E609E6988}" uniqueName="13" name="Loan_Status" queryTableFieldId="13" dataDxfId="2"/>
    <tableColumn id="14" xr3:uid="{A3271313-F3A8-4493-B26F-76BD9691D4B8}" uniqueName="14" name="Total Income" queryTableFieldId="14"/>
    <tableColumn id="15" xr3:uid="{55F4D86E-EEFE-4885-8831-2E52F1B08628}" uniqueName="15" name="Income Group" queryTableFieldId="15" dataDxfId="1"/>
    <tableColumn id="16" xr3:uid="{EBE13090-19FF-4A4E-8D23-B616F70AB2F7}" uniqueName="16" name="Risk Category" totalsRowFunction="count" queryTableFieldId="16" dataDxfId="0"/>
  </tableColumns>
  <tableStyleInfo name="TableStyleMedium7"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A971-9840-4DCB-9368-7C0D6D53B469}">
  <dimension ref="A1:P1001"/>
  <sheetViews>
    <sheetView topLeftCell="B1" zoomScale="137" zoomScaleNormal="70" workbookViewId="0">
      <selection activeCell="H14" sqref="H14"/>
    </sheetView>
  </sheetViews>
  <sheetFormatPr defaultRowHeight="14.4" x14ac:dyDescent="0.3"/>
  <cols>
    <col min="1" max="1" width="9.6640625" bestFit="1" customWidth="1"/>
    <col min="2" max="2" width="9.33203125" bestFit="1" customWidth="1"/>
    <col min="3" max="3" width="9.6640625" bestFit="1" customWidth="1"/>
    <col min="4" max="4" width="13.21875" bestFit="1" customWidth="1"/>
    <col min="5" max="5" width="11.77734375" bestFit="1" customWidth="1"/>
    <col min="6" max="6" width="15.6640625" bestFit="1" customWidth="1"/>
    <col min="7" max="7" width="18" bestFit="1" customWidth="1"/>
    <col min="8" max="8" width="20.88671875" bestFit="1" customWidth="1"/>
    <col min="9" max="9" width="13.88671875" bestFit="1" customWidth="1"/>
    <col min="10" max="10" width="19.5546875" bestFit="1" customWidth="1"/>
    <col min="11" max="11" width="15.33203125" bestFit="1" customWidth="1"/>
    <col min="12" max="12" width="14.88671875" bestFit="1" customWidth="1"/>
    <col min="13" max="13" width="13.21875" bestFit="1" customWidth="1"/>
    <col min="14" max="14" width="13.88671875" bestFit="1" customWidth="1"/>
    <col min="15" max="15" width="14.88671875" bestFit="1" customWidth="1"/>
    <col min="16" max="16" width="14.441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1032</v>
      </c>
      <c r="E2" t="s">
        <v>19</v>
      </c>
      <c r="F2" t="s">
        <v>18</v>
      </c>
      <c r="G2">
        <v>6072</v>
      </c>
      <c r="H2">
        <v>0</v>
      </c>
      <c r="I2">
        <v>608</v>
      </c>
      <c r="J2">
        <v>120</v>
      </c>
      <c r="K2">
        <v>1</v>
      </c>
      <c r="L2" t="s">
        <v>20</v>
      </c>
      <c r="M2" t="s">
        <v>21</v>
      </c>
      <c r="N2">
        <v>6072</v>
      </c>
      <c r="O2" t="s">
        <v>22</v>
      </c>
      <c r="P2" t="s">
        <v>23</v>
      </c>
    </row>
    <row r="3" spans="1:16" x14ac:dyDescent="0.3">
      <c r="A3" t="s">
        <v>24</v>
      </c>
      <c r="B3" t="s">
        <v>17</v>
      </c>
      <c r="C3" t="s">
        <v>18</v>
      </c>
      <c r="D3" t="s">
        <v>1033</v>
      </c>
      <c r="E3" t="s">
        <v>19</v>
      </c>
      <c r="F3" t="s">
        <v>18</v>
      </c>
      <c r="G3">
        <v>19890</v>
      </c>
      <c r="H3">
        <v>3757</v>
      </c>
      <c r="I3">
        <v>275</v>
      </c>
      <c r="J3">
        <v>300</v>
      </c>
      <c r="K3">
        <v>1</v>
      </c>
      <c r="L3" t="s">
        <v>20</v>
      </c>
      <c r="M3" t="s">
        <v>21</v>
      </c>
      <c r="N3">
        <v>23647</v>
      </c>
      <c r="O3" t="s">
        <v>25</v>
      </c>
      <c r="P3" t="s">
        <v>23</v>
      </c>
    </row>
    <row r="4" spans="1:16" x14ac:dyDescent="0.3">
      <c r="A4" t="s">
        <v>26</v>
      </c>
      <c r="B4" t="s">
        <v>17</v>
      </c>
      <c r="C4" t="s">
        <v>27</v>
      </c>
      <c r="D4" t="s">
        <v>1032</v>
      </c>
      <c r="E4" t="s">
        <v>28</v>
      </c>
      <c r="F4" t="s">
        <v>18</v>
      </c>
      <c r="G4">
        <v>8555</v>
      </c>
      <c r="H4">
        <v>13009</v>
      </c>
      <c r="I4">
        <v>154</v>
      </c>
      <c r="J4">
        <v>120</v>
      </c>
      <c r="K4">
        <v>1</v>
      </c>
      <c r="L4" t="s">
        <v>29</v>
      </c>
      <c r="M4" t="s">
        <v>21</v>
      </c>
      <c r="N4">
        <v>21564</v>
      </c>
      <c r="O4" t="s">
        <v>25</v>
      </c>
      <c r="P4" t="s">
        <v>23</v>
      </c>
    </row>
    <row r="5" spans="1:16" x14ac:dyDescent="0.3">
      <c r="A5" t="s">
        <v>30</v>
      </c>
      <c r="B5" t="s">
        <v>31</v>
      </c>
      <c r="C5" t="s">
        <v>27</v>
      </c>
      <c r="D5" t="s">
        <v>1034</v>
      </c>
      <c r="E5" t="s">
        <v>28</v>
      </c>
      <c r="F5" t="s">
        <v>18</v>
      </c>
      <c r="G5">
        <v>13903</v>
      </c>
      <c r="H5">
        <v>1791</v>
      </c>
      <c r="I5">
        <v>693</v>
      </c>
      <c r="J5">
        <v>360</v>
      </c>
      <c r="K5">
        <v>0</v>
      </c>
      <c r="L5" t="s">
        <v>29</v>
      </c>
      <c r="M5" t="s">
        <v>21</v>
      </c>
      <c r="N5">
        <v>15694</v>
      </c>
      <c r="O5" t="s">
        <v>25</v>
      </c>
      <c r="P5" t="s">
        <v>32</v>
      </c>
    </row>
    <row r="6" spans="1:16" x14ac:dyDescent="0.3">
      <c r="A6" t="s">
        <v>33</v>
      </c>
      <c r="B6" t="s">
        <v>17</v>
      </c>
      <c r="C6" t="s">
        <v>18</v>
      </c>
      <c r="D6" t="s">
        <v>1034</v>
      </c>
      <c r="E6" t="s">
        <v>19</v>
      </c>
      <c r="F6" t="s">
        <v>27</v>
      </c>
      <c r="G6">
        <v>4114</v>
      </c>
      <c r="H6">
        <v>0</v>
      </c>
      <c r="I6">
        <v>153</v>
      </c>
      <c r="J6">
        <v>300</v>
      </c>
      <c r="K6">
        <v>1</v>
      </c>
      <c r="L6" t="s">
        <v>34</v>
      </c>
      <c r="M6" t="s">
        <v>21</v>
      </c>
      <c r="N6">
        <v>4114</v>
      </c>
      <c r="O6" t="s">
        <v>35</v>
      </c>
      <c r="P6" t="s">
        <v>23</v>
      </c>
    </row>
    <row r="7" spans="1:16" x14ac:dyDescent="0.3">
      <c r="A7" t="s">
        <v>36</v>
      </c>
      <c r="B7" t="s">
        <v>31</v>
      </c>
      <c r="C7" t="s">
        <v>18</v>
      </c>
      <c r="D7" t="s">
        <v>1032</v>
      </c>
      <c r="E7" t="s">
        <v>28</v>
      </c>
      <c r="F7" t="s">
        <v>18</v>
      </c>
      <c r="G7">
        <v>23460</v>
      </c>
      <c r="H7">
        <v>0</v>
      </c>
      <c r="I7">
        <v>673</v>
      </c>
      <c r="J7">
        <v>180</v>
      </c>
      <c r="K7">
        <v>1</v>
      </c>
      <c r="L7" t="s">
        <v>20</v>
      </c>
      <c r="M7" t="s">
        <v>21</v>
      </c>
      <c r="N7">
        <v>23460</v>
      </c>
      <c r="O7" t="s">
        <v>25</v>
      </c>
      <c r="P7" t="s">
        <v>23</v>
      </c>
    </row>
    <row r="8" spans="1:16" x14ac:dyDescent="0.3">
      <c r="A8" t="s">
        <v>37</v>
      </c>
      <c r="B8" t="s">
        <v>17</v>
      </c>
      <c r="C8" t="s">
        <v>27</v>
      </c>
      <c r="D8" t="s">
        <v>1035</v>
      </c>
      <c r="E8" t="s">
        <v>28</v>
      </c>
      <c r="F8" t="s">
        <v>18</v>
      </c>
      <c r="G8">
        <v>23933</v>
      </c>
      <c r="H8">
        <v>0</v>
      </c>
      <c r="I8">
        <v>284</v>
      </c>
      <c r="J8">
        <v>120</v>
      </c>
      <c r="K8">
        <v>0</v>
      </c>
      <c r="L8" t="s">
        <v>29</v>
      </c>
      <c r="M8" t="s">
        <v>21</v>
      </c>
      <c r="N8">
        <v>23933</v>
      </c>
      <c r="O8" t="s">
        <v>25</v>
      </c>
      <c r="P8" t="s">
        <v>32</v>
      </c>
    </row>
    <row r="9" spans="1:16" x14ac:dyDescent="0.3">
      <c r="A9" t="s">
        <v>38</v>
      </c>
      <c r="B9" t="s">
        <v>31</v>
      </c>
      <c r="C9" t="s">
        <v>18</v>
      </c>
      <c r="D9" t="s">
        <v>1033</v>
      </c>
      <c r="E9" t="s">
        <v>28</v>
      </c>
      <c r="F9" t="s">
        <v>18</v>
      </c>
      <c r="G9">
        <v>22977</v>
      </c>
      <c r="H9">
        <v>8679</v>
      </c>
      <c r="I9">
        <v>519</v>
      </c>
      <c r="J9">
        <v>180</v>
      </c>
      <c r="K9">
        <v>1</v>
      </c>
      <c r="L9" t="s">
        <v>20</v>
      </c>
      <c r="M9" t="s">
        <v>21</v>
      </c>
      <c r="N9">
        <v>31656</v>
      </c>
      <c r="O9" t="s">
        <v>25</v>
      </c>
      <c r="P9" t="s">
        <v>23</v>
      </c>
    </row>
    <row r="10" spans="1:16" x14ac:dyDescent="0.3">
      <c r="A10" t="s">
        <v>39</v>
      </c>
      <c r="B10" t="s">
        <v>31</v>
      </c>
      <c r="C10" t="s">
        <v>27</v>
      </c>
      <c r="D10" t="s">
        <v>1035</v>
      </c>
      <c r="E10" t="s">
        <v>28</v>
      </c>
      <c r="F10" t="s">
        <v>18</v>
      </c>
      <c r="G10">
        <v>6032</v>
      </c>
      <c r="H10">
        <v>8848</v>
      </c>
      <c r="I10">
        <v>143</v>
      </c>
      <c r="J10">
        <v>120</v>
      </c>
      <c r="K10">
        <v>0</v>
      </c>
      <c r="L10" t="s">
        <v>20</v>
      </c>
      <c r="M10" t="s">
        <v>21</v>
      </c>
      <c r="N10">
        <v>14880</v>
      </c>
      <c r="O10" t="s">
        <v>25</v>
      </c>
      <c r="P10" t="s">
        <v>32</v>
      </c>
    </row>
    <row r="11" spans="1:16" x14ac:dyDescent="0.3">
      <c r="A11" t="s">
        <v>40</v>
      </c>
      <c r="B11" t="s">
        <v>17</v>
      </c>
      <c r="C11" t="s">
        <v>27</v>
      </c>
      <c r="D11" t="s">
        <v>1034</v>
      </c>
      <c r="E11" t="s">
        <v>28</v>
      </c>
      <c r="F11" t="s">
        <v>27</v>
      </c>
      <c r="G11">
        <v>21026</v>
      </c>
      <c r="H11">
        <v>8168</v>
      </c>
      <c r="I11">
        <v>616</v>
      </c>
      <c r="J11">
        <v>120</v>
      </c>
      <c r="K11">
        <v>1</v>
      </c>
      <c r="L11" t="s">
        <v>20</v>
      </c>
      <c r="M11" t="s">
        <v>21</v>
      </c>
      <c r="N11">
        <v>29194</v>
      </c>
      <c r="O11" t="s">
        <v>25</v>
      </c>
      <c r="P11" t="s">
        <v>23</v>
      </c>
    </row>
    <row r="12" spans="1:16" x14ac:dyDescent="0.3">
      <c r="A12" t="s">
        <v>41</v>
      </c>
      <c r="B12" t="s">
        <v>31</v>
      </c>
      <c r="C12" t="s">
        <v>27</v>
      </c>
      <c r="D12" t="s">
        <v>1034</v>
      </c>
      <c r="E12" t="s">
        <v>28</v>
      </c>
      <c r="F12" t="s">
        <v>27</v>
      </c>
      <c r="G12">
        <v>6682</v>
      </c>
      <c r="H12">
        <v>0</v>
      </c>
      <c r="I12">
        <v>319</v>
      </c>
      <c r="J12">
        <v>360</v>
      </c>
      <c r="K12">
        <v>1</v>
      </c>
      <c r="L12" t="s">
        <v>34</v>
      </c>
      <c r="M12" t="s">
        <v>21</v>
      </c>
      <c r="N12">
        <v>6682</v>
      </c>
      <c r="O12" t="s">
        <v>22</v>
      </c>
      <c r="P12" t="s">
        <v>23</v>
      </c>
    </row>
    <row r="13" spans="1:16" x14ac:dyDescent="0.3">
      <c r="A13" t="s">
        <v>42</v>
      </c>
      <c r="B13" t="s">
        <v>17</v>
      </c>
      <c r="C13" t="s">
        <v>27</v>
      </c>
      <c r="D13" t="s">
        <v>1033</v>
      </c>
      <c r="E13" t="s">
        <v>19</v>
      </c>
      <c r="F13" t="s">
        <v>27</v>
      </c>
      <c r="G13">
        <v>6793</v>
      </c>
      <c r="H13">
        <v>0</v>
      </c>
      <c r="I13">
        <v>663</v>
      </c>
      <c r="J13">
        <v>240</v>
      </c>
      <c r="K13">
        <v>1</v>
      </c>
      <c r="L13" t="s">
        <v>20</v>
      </c>
      <c r="M13" t="s">
        <v>21</v>
      </c>
      <c r="N13">
        <v>6793</v>
      </c>
      <c r="O13" t="s">
        <v>22</v>
      </c>
      <c r="P13" t="s">
        <v>23</v>
      </c>
    </row>
    <row r="14" spans="1:16" x14ac:dyDescent="0.3">
      <c r="A14" t="s">
        <v>43</v>
      </c>
      <c r="B14" t="s">
        <v>31</v>
      </c>
      <c r="C14" t="s">
        <v>27</v>
      </c>
      <c r="D14" t="s">
        <v>1033</v>
      </c>
      <c r="E14" t="s">
        <v>19</v>
      </c>
      <c r="F14" t="s">
        <v>18</v>
      </c>
      <c r="G14">
        <v>20091</v>
      </c>
      <c r="H14">
        <v>0</v>
      </c>
      <c r="I14">
        <v>547</v>
      </c>
      <c r="J14">
        <v>120</v>
      </c>
      <c r="K14">
        <v>0</v>
      </c>
      <c r="L14" t="s">
        <v>34</v>
      </c>
      <c r="M14" t="s">
        <v>21</v>
      </c>
      <c r="N14">
        <v>20091</v>
      </c>
      <c r="O14" t="s">
        <v>25</v>
      </c>
      <c r="P14" t="s">
        <v>32</v>
      </c>
    </row>
    <row r="15" spans="1:16" x14ac:dyDescent="0.3">
      <c r="A15" t="s">
        <v>44</v>
      </c>
      <c r="B15" t="s">
        <v>17</v>
      </c>
      <c r="C15" t="s">
        <v>18</v>
      </c>
      <c r="D15" t="s">
        <v>1035</v>
      </c>
      <c r="E15" t="s">
        <v>19</v>
      </c>
      <c r="F15" t="s">
        <v>27</v>
      </c>
      <c r="G15">
        <v>18790</v>
      </c>
      <c r="H15">
        <v>14793</v>
      </c>
      <c r="I15">
        <v>266</v>
      </c>
      <c r="J15">
        <v>360</v>
      </c>
      <c r="K15">
        <v>1</v>
      </c>
      <c r="L15" t="s">
        <v>34</v>
      </c>
      <c r="M15" t="s">
        <v>21</v>
      </c>
      <c r="N15">
        <v>33583</v>
      </c>
      <c r="O15" t="s">
        <v>25</v>
      </c>
      <c r="P15" t="s">
        <v>23</v>
      </c>
    </row>
    <row r="16" spans="1:16" x14ac:dyDescent="0.3">
      <c r="A16" t="s">
        <v>45</v>
      </c>
      <c r="B16" t="s">
        <v>17</v>
      </c>
      <c r="C16" t="s">
        <v>27</v>
      </c>
      <c r="D16" t="s">
        <v>1035</v>
      </c>
      <c r="E16" t="s">
        <v>28</v>
      </c>
      <c r="F16" t="s">
        <v>27</v>
      </c>
      <c r="G16">
        <v>18459</v>
      </c>
      <c r="H16">
        <v>0</v>
      </c>
      <c r="I16">
        <v>303</v>
      </c>
      <c r="J16">
        <v>180</v>
      </c>
      <c r="K16">
        <v>1</v>
      </c>
      <c r="L16" t="s">
        <v>20</v>
      </c>
      <c r="M16" t="s">
        <v>21</v>
      </c>
      <c r="N16">
        <v>18459</v>
      </c>
      <c r="O16" t="s">
        <v>25</v>
      </c>
      <c r="P16" t="s">
        <v>23</v>
      </c>
    </row>
    <row r="17" spans="1:16" x14ac:dyDescent="0.3">
      <c r="A17" t="s">
        <v>46</v>
      </c>
      <c r="B17" t="s">
        <v>17</v>
      </c>
      <c r="C17" t="s">
        <v>18</v>
      </c>
      <c r="D17" t="s">
        <v>1034</v>
      </c>
      <c r="E17" t="s">
        <v>19</v>
      </c>
      <c r="F17" t="s">
        <v>18</v>
      </c>
      <c r="G17">
        <v>9001</v>
      </c>
      <c r="H17">
        <v>0</v>
      </c>
      <c r="I17">
        <v>388</v>
      </c>
      <c r="J17">
        <v>120</v>
      </c>
      <c r="K17">
        <v>1</v>
      </c>
      <c r="L17" t="s">
        <v>29</v>
      </c>
      <c r="M17" t="s">
        <v>21</v>
      </c>
      <c r="N17">
        <v>9001</v>
      </c>
      <c r="O17" t="s">
        <v>22</v>
      </c>
      <c r="P17" t="s">
        <v>23</v>
      </c>
    </row>
    <row r="18" spans="1:16" x14ac:dyDescent="0.3">
      <c r="A18" t="s">
        <v>47</v>
      </c>
      <c r="B18" t="s">
        <v>31</v>
      </c>
      <c r="C18" t="s">
        <v>18</v>
      </c>
      <c r="D18" t="s">
        <v>1033</v>
      </c>
      <c r="E18" t="s">
        <v>28</v>
      </c>
      <c r="F18" t="s">
        <v>18</v>
      </c>
      <c r="G18">
        <v>16998</v>
      </c>
      <c r="H18">
        <v>13730</v>
      </c>
      <c r="I18">
        <v>244</v>
      </c>
      <c r="J18">
        <v>120</v>
      </c>
      <c r="K18">
        <v>1</v>
      </c>
      <c r="L18" t="s">
        <v>29</v>
      </c>
      <c r="M18" t="s">
        <v>21</v>
      </c>
      <c r="N18">
        <v>30728</v>
      </c>
      <c r="O18" t="s">
        <v>25</v>
      </c>
      <c r="P18" t="s">
        <v>23</v>
      </c>
    </row>
    <row r="19" spans="1:16" x14ac:dyDescent="0.3">
      <c r="A19" t="s">
        <v>48</v>
      </c>
      <c r="B19" t="s">
        <v>31</v>
      </c>
      <c r="C19" t="s">
        <v>27</v>
      </c>
      <c r="D19" t="s">
        <v>1035</v>
      </c>
      <c r="E19" t="s">
        <v>28</v>
      </c>
      <c r="F19" t="s">
        <v>18</v>
      </c>
      <c r="G19">
        <v>23564</v>
      </c>
      <c r="H19">
        <v>0</v>
      </c>
      <c r="I19">
        <v>112</v>
      </c>
      <c r="J19">
        <v>300</v>
      </c>
      <c r="K19">
        <v>1</v>
      </c>
      <c r="L19" t="s">
        <v>20</v>
      </c>
      <c r="M19" t="s">
        <v>21</v>
      </c>
      <c r="N19">
        <v>23564</v>
      </c>
      <c r="O19" t="s">
        <v>25</v>
      </c>
      <c r="P19" t="s">
        <v>23</v>
      </c>
    </row>
    <row r="20" spans="1:16" x14ac:dyDescent="0.3">
      <c r="A20" t="s">
        <v>49</v>
      </c>
      <c r="B20" t="s">
        <v>17</v>
      </c>
      <c r="C20" t="s">
        <v>18</v>
      </c>
      <c r="D20" t="s">
        <v>1033</v>
      </c>
      <c r="E20" t="s">
        <v>28</v>
      </c>
      <c r="F20" t="s">
        <v>18</v>
      </c>
      <c r="G20">
        <v>15324</v>
      </c>
      <c r="H20">
        <v>3506</v>
      </c>
      <c r="I20">
        <v>523</v>
      </c>
      <c r="J20">
        <v>180</v>
      </c>
      <c r="K20">
        <v>0</v>
      </c>
      <c r="L20" t="s">
        <v>20</v>
      </c>
      <c r="M20" t="s">
        <v>21</v>
      </c>
      <c r="N20">
        <v>18830</v>
      </c>
      <c r="O20" t="s">
        <v>25</v>
      </c>
      <c r="P20" t="s">
        <v>32</v>
      </c>
    </row>
    <row r="21" spans="1:16" x14ac:dyDescent="0.3">
      <c r="A21" t="s">
        <v>50</v>
      </c>
      <c r="B21" t="s">
        <v>31</v>
      </c>
      <c r="C21" t="s">
        <v>18</v>
      </c>
      <c r="D21" t="s">
        <v>1034</v>
      </c>
      <c r="E21" t="s">
        <v>19</v>
      </c>
      <c r="F21" t="s">
        <v>18</v>
      </c>
      <c r="G21">
        <v>9245</v>
      </c>
      <c r="H21">
        <v>3224</v>
      </c>
      <c r="I21">
        <v>547</v>
      </c>
      <c r="J21">
        <v>300</v>
      </c>
      <c r="K21">
        <v>1</v>
      </c>
      <c r="L21" t="s">
        <v>29</v>
      </c>
      <c r="M21" t="s">
        <v>21</v>
      </c>
      <c r="N21">
        <v>12469</v>
      </c>
      <c r="O21" t="s">
        <v>25</v>
      </c>
      <c r="P21" t="s">
        <v>23</v>
      </c>
    </row>
    <row r="22" spans="1:16" x14ac:dyDescent="0.3">
      <c r="A22" t="s">
        <v>51</v>
      </c>
      <c r="B22" t="s">
        <v>17</v>
      </c>
      <c r="C22" t="s">
        <v>18</v>
      </c>
      <c r="D22" t="s">
        <v>1035</v>
      </c>
      <c r="E22" t="s">
        <v>19</v>
      </c>
      <c r="F22" t="s">
        <v>27</v>
      </c>
      <c r="G22">
        <v>10190</v>
      </c>
      <c r="H22">
        <v>13346</v>
      </c>
      <c r="I22">
        <v>342</v>
      </c>
      <c r="J22">
        <v>300</v>
      </c>
      <c r="K22">
        <v>1</v>
      </c>
      <c r="L22" t="s">
        <v>34</v>
      </c>
      <c r="M22" t="s">
        <v>21</v>
      </c>
      <c r="N22">
        <v>23536</v>
      </c>
      <c r="O22" t="s">
        <v>25</v>
      </c>
      <c r="P22" t="s">
        <v>23</v>
      </c>
    </row>
    <row r="23" spans="1:16" x14ac:dyDescent="0.3">
      <c r="A23" t="s">
        <v>52</v>
      </c>
      <c r="B23" t="s">
        <v>31</v>
      </c>
      <c r="C23" t="s">
        <v>18</v>
      </c>
      <c r="D23" t="s">
        <v>1033</v>
      </c>
      <c r="E23" t="s">
        <v>28</v>
      </c>
      <c r="F23" t="s">
        <v>18</v>
      </c>
      <c r="G23">
        <v>3416</v>
      </c>
      <c r="H23">
        <v>0</v>
      </c>
      <c r="I23">
        <v>371</v>
      </c>
      <c r="J23">
        <v>120</v>
      </c>
      <c r="K23">
        <v>1</v>
      </c>
      <c r="L23" t="s">
        <v>29</v>
      </c>
      <c r="M23" t="s">
        <v>53</v>
      </c>
      <c r="N23">
        <v>3416</v>
      </c>
      <c r="O23" t="s">
        <v>35</v>
      </c>
      <c r="P23" t="s">
        <v>23</v>
      </c>
    </row>
    <row r="24" spans="1:16" x14ac:dyDescent="0.3">
      <c r="A24" t="s">
        <v>54</v>
      </c>
      <c r="B24" t="s">
        <v>17</v>
      </c>
      <c r="C24" t="s">
        <v>18</v>
      </c>
      <c r="D24" t="s">
        <v>1034</v>
      </c>
      <c r="E24" t="s">
        <v>19</v>
      </c>
      <c r="F24" t="s">
        <v>18</v>
      </c>
      <c r="G24">
        <v>20998</v>
      </c>
      <c r="H24">
        <v>0</v>
      </c>
      <c r="I24">
        <v>463</v>
      </c>
      <c r="J24">
        <v>120</v>
      </c>
      <c r="K24">
        <v>0</v>
      </c>
      <c r="L24" t="s">
        <v>34</v>
      </c>
      <c r="M24" t="s">
        <v>21</v>
      </c>
      <c r="N24">
        <v>20998</v>
      </c>
      <c r="O24" t="s">
        <v>25</v>
      </c>
      <c r="P24" t="s">
        <v>32</v>
      </c>
    </row>
    <row r="25" spans="1:16" x14ac:dyDescent="0.3">
      <c r="A25" t="s">
        <v>55</v>
      </c>
      <c r="B25" t="s">
        <v>17</v>
      </c>
      <c r="C25" t="s">
        <v>18</v>
      </c>
      <c r="D25" t="s">
        <v>1034</v>
      </c>
      <c r="E25" t="s">
        <v>28</v>
      </c>
      <c r="F25" t="s">
        <v>27</v>
      </c>
      <c r="G25">
        <v>10044</v>
      </c>
      <c r="H25">
        <v>3846</v>
      </c>
      <c r="I25">
        <v>294</v>
      </c>
      <c r="J25">
        <v>240</v>
      </c>
      <c r="K25">
        <v>1</v>
      </c>
      <c r="L25" t="s">
        <v>34</v>
      </c>
      <c r="M25" t="s">
        <v>21</v>
      </c>
      <c r="N25">
        <v>13890</v>
      </c>
      <c r="O25" t="s">
        <v>25</v>
      </c>
      <c r="P25" t="s">
        <v>23</v>
      </c>
    </row>
    <row r="26" spans="1:16" x14ac:dyDescent="0.3">
      <c r="A26" t="s">
        <v>56</v>
      </c>
      <c r="B26" t="s">
        <v>31</v>
      </c>
      <c r="C26" t="s">
        <v>27</v>
      </c>
      <c r="D26" t="s">
        <v>1032</v>
      </c>
      <c r="E26" t="s">
        <v>19</v>
      </c>
      <c r="F26" t="s">
        <v>18</v>
      </c>
      <c r="G26">
        <v>16517</v>
      </c>
      <c r="H26">
        <v>0</v>
      </c>
      <c r="I26">
        <v>125</v>
      </c>
      <c r="J26">
        <v>360</v>
      </c>
      <c r="K26">
        <v>1</v>
      </c>
      <c r="L26" t="s">
        <v>29</v>
      </c>
      <c r="M26" t="s">
        <v>21</v>
      </c>
      <c r="N26">
        <v>16517</v>
      </c>
      <c r="O26" t="s">
        <v>25</v>
      </c>
      <c r="P26" t="s">
        <v>23</v>
      </c>
    </row>
    <row r="27" spans="1:16" x14ac:dyDescent="0.3">
      <c r="A27" t="s">
        <v>57</v>
      </c>
      <c r="B27" t="s">
        <v>17</v>
      </c>
      <c r="C27" t="s">
        <v>27</v>
      </c>
      <c r="D27" t="s">
        <v>1034</v>
      </c>
      <c r="E27" t="s">
        <v>19</v>
      </c>
      <c r="F27" t="s">
        <v>27</v>
      </c>
      <c r="G27">
        <v>10838</v>
      </c>
      <c r="H27">
        <v>3084</v>
      </c>
      <c r="I27">
        <v>606</v>
      </c>
      <c r="J27">
        <v>240</v>
      </c>
      <c r="K27">
        <v>1</v>
      </c>
      <c r="L27" t="s">
        <v>34</v>
      </c>
      <c r="M27" t="s">
        <v>21</v>
      </c>
      <c r="N27">
        <v>13922</v>
      </c>
      <c r="O27" t="s">
        <v>25</v>
      </c>
      <c r="P27" t="s">
        <v>23</v>
      </c>
    </row>
    <row r="28" spans="1:16" x14ac:dyDescent="0.3">
      <c r="A28" t="s">
        <v>58</v>
      </c>
      <c r="B28" t="s">
        <v>17</v>
      </c>
      <c r="C28" t="s">
        <v>27</v>
      </c>
      <c r="D28" t="s">
        <v>1034</v>
      </c>
      <c r="E28" t="s">
        <v>19</v>
      </c>
      <c r="F28" t="s">
        <v>27</v>
      </c>
      <c r="G28">
        <v>5282</v>
      </c>
      <c r="H28">
        <v>0</v>
      </c>
      <c r="I28">
        <v>328</v>
      </c>
      <c r="J28">
        <v>240</v>
      </c>
      <c r="K28">
        <v>1</v>
      </c>
      <c r="L28" t="s">
        <v>34</v>
      </c>
      <c r="M28" t="s">
        <v>21</v>
      </c>
      <c r="N28">
        <v>5282</v>
      </c>
      <c r="O28" t="s">
        <v>22</v>
      </c>
      <c r="P28" t="s">
        <v>23</v>
      </c>
    </row>
    <row r="29" spans="1:16" x14ac:dyDescent="0.3">
      <c r="A29" t="s">
        <v>59</v>
      </c>
      <c r="B29" t="s">
        <v>31</v>
      </c>
      <c r="C29" t="s">
        <v>18</v>
      </c>
      <c r="D29" t="s">
        <v>1032</v>
      </c>
      <c r="E29" t="s">
        <v>28</v>
      </c>
      <c r="F29" t="s">
        <v>27</v>
      </c>
      <c r="G29">
        <v>3164</v>
      </c>
      <c r="H29">
        <v>2012</v>
      </c>
      <c r="I29">
        <v>333</v>
      </c>
      <c r="J29">
        <v>120</v>
      </c>
      <c r="K29">
        <v>1</v>
      </c>
      <c r="L29" t="s">
        <v>20</v>
      </c>
      <c r="M29" t="s">
        <v>53</v>
      </c>
      <c r="N29">
        <v>5176</v>
      </c>
      <c r="O29" t="s">
        <v>22</v>
      </c>
      <c r="P29" t="s">
        <v>23</v>
      </c>
    </row>
    <row r="30" spans="1:16" x14ac:dyDescent="0.3">
      <c r="A30" t="s">
        <v>60</v>
      </c>
      <c r="B30" t="s">
        <v>31</v>
      </c>
      <c r="C30" t="s">
        <v>18</v>
      </c>
      <c r="D30" t="s">
        <v>1035</v>
      </c>
      <c r="E30" t="s">
        <v>28</v>
      </c>
      <c r="F30" t="s">
        <v>18</v>
      </c>
      <c r="G30">
        <v>5165</v>
      </c>
      <c r="H30">
        <v>0</v>
      </c>
      <c r="I30">
        <v>608</v>
      </c>
      <c r="J30">
        <v>120</v>
      </c>
      <c r="K30">
        <v>0</v>
      </c>
      <c r="L30" t="s">
        <v>34</v>
      </c>
      <c r="M30" t="s">
        <v>53</v>
      </c>
      <c r="N30">
        <v>5165</v>
      </c>
      <c r="O30" t="s">
        <v>22</v>
      </c>
      <c r="P30" t="s">
        <v>32</v>
      </c>
    </row>
    <row r="31" spans="1:16" x14ac:dyDescent="0.3">
      <c r="A31" t="s">
        <v>61</v>
      </c>
      <c r="B31" t="s">
        <v>17</v>
      </c>
      <c r="C31" t="s">
        <v>27</v>
      </c>
      <c r="D31" t="s">
        <v>1033</v>
      </c>
      <c r="E31" t="s">
        <v>19</v>
      </c>
      <c r="F31" t="s">
        <v>27</v>
      </c>
      <c r="G31">
        <v>13448</v>
      </c>
      <c r="H31">
        <v>0</v>
      </c>
      <c r="I31">
        <v>416</v>
      </c>
      <c r="J31">
        <v>180</v>
      </c>
      <c r="K31">
        <v>1</v>
      </c>
      <c r="L31" t="s">
        <v>34</v>
      </c>
      <c r="M31" t="s">
        <v>21</v>
      </c>
      <c r="N31">
        <v>13448</v>
      </c>
      <c r="O31" t="s">
        <v>25</v>
      </c>
      <c r="P31" t="s">
        <v>23</v>
      </c>
    </row>
    <row r="32" spans="1:16" x14ac:dyDescent="0.3">
      <c r="A32" t="s">
        <v>62</v>
      </c>
      <c r="B32" t="s">
        <v>17</v>
      </c>
      <c r="C32" t="s">
        <v>27</v>
      </c>
      <c r="D32" t="s">
        <v>1035</v>
      </c>
      <c r="E32" t="s">
        <v>19</v>
      </c>
      <c r="F32" t="s">
        <v>18</v>
      </c>
      <c r="G32">
        <v>6824</v>
      </c>
      <c r="H32">
        <v>0</v>
      </c>
      <c r="I32">
        <v>472</v>
      </c>
      <c r="J32">
        <v>120</v>
      </c>
      <c r="K32">
        <v>1</v>
      </c>
      <c r="L32" t="s">
        <v>29</v>
      </c>
      <c r="M32" t="s">
        <v>21</v>
      </c>
      <c r="N32">
        <v>6824</v>
      </c>
      <c r="O32" t="s">
        <v>22</v>
      </c>
      <c r="P32" t="s">
        <v>23</v>
      </c>
    </row>
    <row r="33" spans="1:16" x14ac:dyDescent="0.3">
      <c r="A33" t="s">
        <v>63</v>
      </c>
      <c r="B33" t="s">
        <v>31</v>
      </c>
      <c r="C33" t="s">
        <v>18</v>
      </c>
      <c r="D33" t="s">
        <v>1032</v>
      </c>
      <c r="E33" t="s">
        <v>19</v>
      </c>
      <c r="F33" t="s">
        <v>18</v>
      </c>
      <c r="G33">
        <v>14035</v>
      </c>
      <c r="H33">
        <v>0</v>
      </c>
      <c r="I33">
        <v>531</v>
      </c>
      <c r="J33">
        <v>180</v>
      </c>
      <c r="K33">
        <v>1</v>
      </c>
      <c r="L33" t="s">
        <v>29</v>
      </c>
      <c r="M33" t="s">
        <v>21</v>
      </c>
      <c r="N33">
        <v>14035</v>
      </c>
      <c r="O33" t="s">
        <v>25</v>
      </c>
      <c r="P33" t="s">
        <v>23</v>
      </c>
    </row>
    <row r="34" spans="1:16" x14ac:dyDescent="0.3">
      <c r="A34" t="s">
        <v>64</v>
      </c>
      <c r="B34" t="s">
        <v>31</v>
      </c>
      <c r="C34" t="s">
        <v>27</v>
      </c>
      <c r="D34" t="s">
        <v>1033</v>
      </c>
      <c r="E34" t="s">
        <v>19</v>
      </c>
      <c r="F34" t="s">
        <v>18</v>
      </c>
      <c r="G34">
        <v>23127</v>
      </c>
      <c r="H34">
        <v>3664</v>
      </c>
      <c r="I34">
        <v>386</v>
      </c>
      <c r="J34">
        <v>240</v>
      </c>
      <c r="K34">
        <v>0</v>
      </c>
      <c r="L34" t="s">
        <v>29</v>
      </c>
      <c r="M34" t="s">
        <v>21</v>
      </c>
      <c r="N34">
        <v>26791</v>
      </c>
      <c r="O34" t="s">
        <v>25</v>
      </c>
      <c r="P34" t="s">
        <v>32</v>
      </c>
    </row>
    <row r="35" spans="1:16" x14ac:dyDescent="0.3">
      <c r="A35" t="s">
        <v>65</v>
      </c>
      <c r="B35" t="s">
        <v>31</v>
      </c>
      <c r="C35" t="s">
        <v>27</v>
      </c>
      <c r="D35" t="s">
        <v>1032</v>
      </c>
      <c r="E35" t="s">
        <v>19</v>
      </c>
      <c r="F35" t="s">
        <v>18</v>
      </c>
      <c r="G35">
        <v>10059</v>
      </c>
      <c r="H35">
        <v>3425</v>
      </c>
      <c r="I35">
        <v>89</v>
      </c>
      <c r="J35">
        <v>120</v>
      </c>
      <c r="K35">
        <v>1</v>
      </c>
      <c r="L35" t="s">
        <v>29</v>
      </c>
      <c r="M35" t="s">
        <v>21</v>
      </c>
      <c r="N35">
        <v>13484</v>
      </c>
      <c r="O35" t="s">
        <v>25</v>
      </c>
      <c r="P35" t="s">
        <v>23</v>
      </c>
    </row>
    <row r="36" spans="1:16" x14ac:dyDescent="0.3">
      <c r="A36" t="s">
        <v>66</v>
      </c>
      <c r="B36" t="s">
        <v>31</v>
      </c>
      <c r="C36" t="s">
        <v>27</v>
      </c>
      <c r="D36" t="s">
        <v>1034</v>
      </c>
      <c r="E36" t="s">
        <v>28</v>
      </c>
      <c r="F36" t="s">
        <v>18</v>
      </c>
      <c r="G36">
        <v>9846</v>
      </c>
      <c r="H36">
        <v>1227</v>
      </c>
      <c r="I36">
        <v>51</v>
      </c>
      <c r="J36">
        <v>360</v>
      </c>
      <c r="K36">
        <v>0</v>
      </c>
      <c r="L36" t="s">
        <v>34</v>
      </c>
      <c r="M36" t="s">
        <v>21</v>
      </c>
      <c r="N36">
        <v>11073</v>
      </c>
      <c r="O36" t="s">
        <v>25</v>
      </c>
      <c r="P36" t="s">
        <v>32</v>
      </c>
    </row>
    <row r="37" spans="1:16" x14ac:dyDescent="0.3">
      <c r="A37" t="s">
        <v>67</v>
      </c>
      <c r="B37" t="s">
        <v>17</v>
      </c>
      <c r="C37" t="s">
        <v>27</v>
      </c>
      <c r="D37" t="s">
        <v>1035</v>
      </c>
      <c r="E37" t="s">
        <v>19</v>
      </c>
      <c r="F37" t="s">
        <v>27</v>
      </c>
      <c r="G37">
        <v>21919</v>
      </c>
      <c r="H37">
        <v>0</v>
      </c>
      <c r="I37">
        <v>357</v>
      </c>
      <c r="J37">
        <v>360</v>
      </c>
      <c r="K37">
        <v>1</v>
      </c>
      <c r="L37" t="s">
        <v>29</v>
      </c>
      <c r="M37" t="s">
        <v>21</v>
      </c>
      <c r="N37">
        <v>21919</v>
      </c>
      <c r="O37" t="s">
        <v>25</v>
      </c>
      <c r="P37" t="s">
        <v>23</v>
      </c>
    </row>
    <row r="38" spans="1:16" x14ac:dyDescent="0.3">
      <c r="A38" t="s">
        <v>68</v>
      </c>
      <c r="B38" t="s">
        <v>31</v>
      </c>
      <c r="C38" t="s">
        <v>27</v>
      </c>
      <c r="D38" t="s">
        <v>1032</v>
      </c>
      <c r="E38" t="s">
        <v>19</v>
      </c>
      <c r="F38" t="s">
        <v>18</v>
      </c>
      <c r="G38">
        <v>15277</v>
      </c>
      <c r="H38">
        <v>11394</v>
      </c>
      <c r="I38">
        <v>228</v>
      </c>
      <c r="J38">
        <v>360</v>
      </c>
      <c r="K38">
        <v>1</v>
      </c>
      <c r="L38" t="s">
        <v>29</v>
      </c>
      <c r="M38" t="s">
        <v>21</v>
      </c>
      <c r="N38">
        <v>26671</v>
      </c>
      <c r="O38" t="s">
        <v>25</v>
      </c>
      <c r="P38" t="s">
        <v>23</v>
      </c>
    </row>
    <row r="39" spans="1:16" x14ac:dyDescent="0.3">
      <c r="A39" t="s">
        <v>69</v>
      </c>
      <c r="B39" t="s">
        <v>17</v>
      </c>
      <c r="C39" t="s">
        <v>27</v>
      </c>
      <c r="D39" t="s">
        <v>1032</v>
      </c>
      <c r="E39" t="s">
        <v>19</v>
      </c>
      <c r="F39" t="s">
        <v>27</v>
      </c>
      <c r="G39">
        <v>20504</v>
      </c>
      <c r="H39">
        <v>10439</v>
      </c>
      <c r="I39">
        <v>526</v>
      </c>
      <c r="J39">
        <v>300</v>
      </c>
      <c r="K39">
        <v>1</v>
      </c>
      <c r="L39" t="s">
        <v>20</v>
      </c>
      <c r="M39" t="s">
        <v>21</v>
      </c>
      <c r="N39">
        <v>30943</v>
      </c>
      <c r="O39" t="s">
        <v>25</v>
      </c>
      <c r="P39" t="s">
        <v>23</v>
      </c>
    </row>
    <row r="40" spans="1:16" x14ac:dyDescent="0.3">
      <c r="A40" t="s">
        <v>70</v>
      </c>
      <c r="B40" t="s">
        <v>31</v>
      </c>
      <c r="C40" t="s">
        <v>18</v>
      </c>
      <c r="D40" t="s">
        <v>1034</v>
      </c>
      <c r="E40" t="s">
        <v>28</v>
      </c>
      <c r="F40" t="s">
        <v>27</v>
      </c>
      <c r="G40">
        <v>4560</v>
      </c>
      <c r="H40">
        <v>0</v>
      </c>
      <c r="I40">
        <v>367</v>
      </c>
      <c r="J40">
        <v>180</v>
      </c>
      <c r="K40">
        <v>0</v>
      </c>
      <c r="L40" t="s">
        <v>20</v>
      </c>
      <c r="M40" t="s">
        <v>53</v>
      </c>
      <c r="N40">
        <v>4560</v>
      </c>
      <c r="O40" t="s">
        <v>35</v>
      </c>
      <c r="P40" t="s">
        <v>32</v>
      </c>
    </row>
    <row r="41" spans="1:16" x14ac:dyDescent="0.3">
      <c r="A41" t="s">
        <v>71</v>
      </c>
      <c r="B41" t="s">
        <v>17</v>
      </c>
      <c r="C41" t="s">
        <v>18</v>
      </c>
      <c r="D41" t="s">
        <v>1033</v>
      </c>
      <c r="E41" t="s">
        <v>28</v>
      </c>
      <c r="F41" t="s">
        <v>18</v>
      </c>
      <c r="G41">
        <v>16423</v>
      </c>
      <c r="H41">
        <v>0</v>
      </c>
      <c r="I41">
        <v>443</v>
      </c>
      <c r="J41">
        <v>300</v>
      </c>
      <c r="K41">
        <v>1</v>
      </c>
      <c r="L41" t="s">
        <v>20</v>
      </c>
      <c r="M41" t="s">
        <v>21</v>
      </c>
      <c r="N41">
        <v>16423</v>
      </c>
      <c r="O41" t="s">
        <v>25</v>
      </c>
      <c r="P41" t="s">
        <v>23</v>
      </c>
    </row>
    <row r="42" spans="1:16" x14ac:dyDescent="0.3">
      <c r="A42" t="s">
        <v>72</v>
      </c>
      <c r="B42" t="s">
        <v>17</v>
      </c>
      <c r="C42" t="s">
        <v>18</v>
      </c>
      <c r="D42" t="s">
        <v>1035</v>
      </c>
      <c r="E42" t="s">
        <v>19</v>
      </c>
      <c r="F42" t="s">
        <v>18</v>
      </c>
      <c r="G42">
        <v>24303</v>
      </c>
      <c r="H42">
        <v>8986</v>
      </c>
      <c r="I42">
        <v>101</v>
      </c>
      <c r="J42">
        <v>360</v>
      </c>
      <c r="K42">
        <v>1</v>
      </c>
      <c r="L42" t="s">
        <v>20</v>
      </c>
      <c r="M42" t="s">
        <v>21</v>
      </c>
      <c r="N42">
        <v>33289</v>
      </c>
      <c r="O42" t="s">
        <v>25</v>
      </c>
      <c r="P42" t="s">
        <v>23</v>
      </c>
    </row>
    <row r="43" spans="1:16" x14ac:dyDescent="0.3">
      <c r="A43" t="s">
        <v>73</v>
      </c>
      <c r="B43" t="s">
        <v>31</v>
      </c>
      <c r="C43" t="s">
        <v>18</v>
      </c>
      <c r="D43" t="s">
        <v>1035</v>
      </c>
      <c r="E43" t="s">
        <v>28</v>
      </c>
      <c r="F43" t="s">
        <v>27</v>
      </c>
      <c r="G43">
        <v>21575</v>
      </c>
      <c r="H43">
        <v>13853</v>
      </c>
      <c r="I43">
        <v>611</v>
      </c>
      <c r="J43">
        <v>300</v>
      </c>
      <c r="K43">
        <v>0</v>
      </c>
      <c r="L43" t="s">
        <v>34</v>
      </c>
      <c r="M43" t="s">
        <v>21</v>
      </c>
      <c r="N43">
        <v>35428</v>
      </c>
      <c r="O43" t="s">
        <v>25</v>
      </c>
      <c r="P43" t="s">
        <v>32</v>
      </c>
    </row>
    <row r="44" spans="1:16" x14ac:dyDescent="0.3">
      <c r="A44" t="s">
        <v>74</v>
      </c>
      <c r="B44" t="s">
        <v>31</v>
      </c>
      <c r="C44" t="s">
        <v>27</v>
      </c>
      <c r="D44" t="s">
        <v>1032</v>
      </c>
      <c r="E44" t="s">
        <v>19</v>
      </c>
      <c r="F44" t="s">
        <v>27</v>
      </c>
      <c r="G44">
        <v>18581</v>
      </c>
      <c r="H44">
        <v>0</v>
      </c>
      <c r="I44">
        <v>331</v>
      </c>
      <c r="J44">
        <v>300</v>
      </c>
      <c r="K44">
        <v>1</v>
      </c>
      <c r="L44" t="s">
        <v>29</v>
      </c>
      <c r="M44" t="s">
        <v>21</v>
      </c>
      <c r="N44">
        <v>18581</v>
      </c>
      <c r="O44" t="s">
        <v>25</v>
      </c>
      <c r="P44" t="s">
        <v>23</v>
      </c>
    </row>
    <row r="45" spans="1:16" x14ac:dyDescent="0.3">
      <c r="A45" t="s">
        <v>75</v>
      </c>
      <c r="B45" t="s">
        <v>17</v>
      </c>
      <c r="C45" t="s">
        <v>27</v>
      </c>
      <c r="D45" t="s">
        <v>1032</v>
      </c>
      <c r="E45" t="s">
        <v>28</v>
      </c>
      <c r="F45" t="s">
        <v>18</v>
      </c>
      <c r="G45">
        <v>6034</v>
      </c>
      <c r="H45">
        <v>0</v>
      </c>
      <c r="I45">
        <v>442</v>
      </c>
      <c r="J45">
        <v>180</v>
      </c>
      <c r="K45">
        <v>1</v>
      </c>
      <c r="L45" t="s">
        <v>20</v>
      </c>
      <c r="M45" t="s">
        <v>21</v>
      </c>
      <c r="N45">
        <v>6034</v>
      </c>
      <c r="O45" t="s">
        <v>22</v>
      </c>
      <c r="P45" t="s">
        <v>23</v>
      </c>
    </row>
    <row r="46" spans="1:16" x14ac:dyDescent="0.3">
      <c r="A46" t="s">
        <v>76</v>
      </c>
      <c r="B46" t="s">
        <v>31</v>
      </c>
      <c r="C46" t="s">
        <v>27</v>
      </c>
      <c r="D46" t="s">
        <v>1032</v>
      </c>
      <c r="E46" t="s">
        <v>28</v>
      </c>
      <c r="F46" t="s">
        <v>27</v>
      </c>
      <c r="G46">
        <v>3540</v>
      </c>
      <c r="H46">
        <v>3888</v>
      </c>
      <c r="I46">
        <v>448</v>
      </c>
      <c r="J46">
        <v>360</v>
      </c>
      <c r="K46">
        <v>0</v>
      </c>
      <c r="L46" t="s">
        <v>20</v>
      </c>
      <c r="M46" t="s">
        <v>53</v>
      </c>
      <c r="N46">
        <v>7428</v>
      </c>
      <c r="O46" t="s">
        <v>22</v>
      </c>
      <c r="P46" t="s">
        <v>32</v>
      </c>
    </row>
    <row r="47" spans="1:16" x14ac:dyDescent="0.3">
      <c r="A47" t="s">
        <v>77</v>
      </c>
      <c r="B47" t="s">
        <v>31</v>
      </c>
      <c r="C47" t="s">
        <v>27</v>
      </c>
      <c r="D47" t="s">
        <v>1034</v>
      </c>
      <c r="E47" t="s">
        <v>28</v>
      </c>
      <c r="F47" t="s">
        <v>27</v>
      </c>
      <c r="G47">
        <v>14279</v>
      </c>
      <c r="H47">
        <v>14482</v>
      </c>
      <c r="I47">
        <v>601</v>
      </c>
      <c r="J47">
        <v>360</v>
      </c>
      <c r="K47">
        <v>0</v>
      </c>
      <c r="L47" t="s">
        <v>20</v>
      </c>
      <c r="M47" t="s">
        <v>21</v>
      </c>
      <c r="N47">
        <v>28761</v>
      </c>
      <c r="O47" t="s">
        <v>25</v>
      </c>
      <c r="P47" t="s">
        <v>32</v>
      </c>
    </row>
    <row r="48" spans="1:16" x14ac:dyDescent="0.3">
      <c r="A48" t="s">
        <v>78</v>
      </c>
      <c r="B48" t="s">
        <v>31</v>
      </c>
      <c r="C48" t="s">
        <v>18</v>
      </c>
      <c r="D48" t="s">
        <v>1032</v>
      </c>
      <c r="E48" t="s">
        <v>28</v>
      </c>
      <c r="F48" t="s">
        <v>27</v>
      </c>
      <c r="G48">
        <v>2451</v>
      </c>
      <c r="H48">
        <v>6871</v>
      </c>
      <c r="I48">
        <v>464</v>
      </c>
      <c r="J48">
        <v>180</v>
      </c>
      <c r="K48">
        <v>0</v>
      </c>
      <c r="L48" t="s">
        <v>20</v>
      </c>
      <c r="M48" t="s">
        <v>21</v>
      </c>
      <c r="N48">
        <v>9322</v>
      </c>
      <c r="O48" t="s">
        <v>22</v>
      </c>
      <c r="P48" t="s">
        <v>32</v>
      </c>
    </row>
    <row r="49" spans="1:16" x14ac:dyDescent="0.3">
      <c r="A49" t="s">
        <v>79</v>
      </c>
      <c r="B49" t="s">
        <v>17</v>
      </c>
      <c r="C49" t="s">
        <v>27</v>
      </c>
      <c r="D49" t="s">
        <v>1034</v>
      </c>
      <c r="E49" t="s">
        <v>19</v>
      </c>
      <c r="F49" t="s">
        <v>27</v>
      </c>
      <c r="G49">
        <v>5946</v>
      </c>
      <c r="H49">
        <v>14702</v>
      </c>
      <c r="I49">
        <v>236</v>
      </c>
      <c r="J49">
        <v>120</v>
      </c>
      <c r="K49">
        <v>1</v>
      </c>
      <c r="L49" t="s">
        <v>29</v>
      </c>
      <c r="M49" t="s">
        <v>21</v>
      </c>
      <c r="N49">
        <v>20648</v>
      </c>
      <c r="O49" t="s">
        <v>25</v>
      </c>
      <c r="P49" t="s">
        <v>23</v>
      </c>
    </row>
    <row r="50" spans="1:16" x14ac:dyDescent="0.3">
      <c r="A50" t="s">
        <v>80</v>
      </c>
      <c r="B50" t="s">
        <v>17</v>
      </c>
      <c r="C50" t="s">
        <v>27</v>
      </c>
      <c r="D50" t="s">
        <v>1032</v>
      </c>
      <c r="E50" t="s">
        <v>28</v>
      </c>
      <c r="F50" t="s">
        <v>27</v>
      </c>
      <c r="G50">
        <v>10617</v>
      </c>
      <c r="H50">
        <v>12820</v>
      </c>
      <c r="I50">
        <v>308</v>
      </c>
      <c r="J50">
        <v>120</v>
      </c>
      <c r="K50">
        <v>1</v>
      </c>
      <c r="L50" t="s">
        <v>34</v>
      </c>
      <c r="M50" t="s">
        <v>21</v>
      </c>
      <c r="N50">
        <v>23437</v>
      </c>
      <c r="O50" t="s">
        <v>25</v>
      </c>
      <c r="P50" t="s">
        <v>23</v>
      </c>
    </row>
    <row r="51" spans="1:16" x14ac:dyDescent="0.3">
      <c r="A51" t="s">
        <v>81</v>
      </c>
      <c r="B51" t="s">
        <v>17</v>
      </c>
      <c r="C51" t="s">
        <v>27</v>
      </c>
      <c r="D51" t="s">
        <v>1033</v>
      </c>
      <c r="E51" t="s">
        <v>19</v>
      </c>
      <c r="F51" t="s">
        <v>18</v>
      </c>
      <c r="G51">
        <v>2516</v>
      </c>
      <c r="H51">
        <v>0</v>
      </c>
      <c r="I51">
        <v>70</v>
      </c>
      <c r="J51">
        <v>360</v>
      </c>
      <c r="K51">
        <v>1</v>
      </c>
      <c r="L51" t="s">
        <v>20</v>
      </c>
      <c r="M51" t="s">
        <v>53</v>
      </c>
      <c r="N51">
        <v>2516</v>
      </c>
      <c r="O51" t="s">
        <v>35</v>
      </c>
      <c r="P51" t="s">
        <v>23</v>
      </c>
    </row>
    <row r="52" spans="1:16" x14ac:dyDescent="0.3">
      <c r="A52" t="s">
        <v>82</v>
      </c>
      <c r="B52" t="s">
        <v>31</v>
      </c>
      <c r="C52" t="s">
        <v>18</v>
      </c>
      <c r="D52" t="s">
        <v>1033</v>
      </c>
      <c r="E52" t="s">
        <v>28</v>
      </c>
      <c r="F52" t="s">
        <v>27</v>
      </c>
      <c r="G52">
        <v>13587</v>
      </c>
      <c r="H52">
        <v>0</v>
      </c>
      <c r="I52">
        <v>217</v>
      </c>
      <c r="J52">
        <v>240</v>
      </c>
      <c r="K52">
        <v>1</v>
      </c>
      <c r="L52" t="s">
        <v>20</v>
      </c>
      <c r="M52" t="s">
        <v>21</v>
      </c>
      <c r="N52">
        <v>13587</v>
      </c>
      <c r="O52" t="s">
        <v>25</v>
      </c>
      <c r="P52" t="s">
        <v>23</v>
      </c>
    </row>
    <row r="53" spans="1:16" x14ac:dyDescent="0.3">
      <c r="A53" t="s">
        <v>83</v>
      </c>
      <c r="B53" t="s">
        <v>31</v>
      </c>
      <c r="C53" t="s">
        <v>27</v>
      </c>
      <c r="D53" t="s">
        <v>1035</v>
      </c>
      <c r="E53" t="s">
        <v>19</v>
      </c>
      <c r="F53" t="s">
        <v>18</v>
      </c>
      <c r="G53">
        <v>20901</v>
      </c>
      <c r="H53">
        <v>0</v>
      </c>
      <c r="I53">
        <v>154</v>
      </c>
      <c r="J53">
        <v>240</v>
      </c>
      <c r="K53">
        <v>0</v>
      </c>
      <c r="L53" t="s">
        <v>34</v>
      </c>
      <c r="M53" t="s">
        <v>21</v>
      </c>
      <c r="N53">
        <v>20901</v>
      </c>
      <c r="O53" t="s">
        <v>25</v>
      </c>
      <c r="P53" t="s">
        <v>32</v>
      </c>
    </row>
    <row r="54" spans="1:16" x14ac:dyDescent="0.3">
      <c r="A54" t="s">
        <v>84</v>
      </c>
      <c r="B54" t="s">
        <v>17</v>
      </c>
      <c r="C54" t="s">
        <v>18</v>
      </c>
      <c r="D54" t="s">
        <v>1032</v>
      </c>
      <c r="E54" t="s">
        <v>28</v>
      </c>
      <c r="F54" t="s">
        <v>27</v>
      </c>
      <c r="G54">
        <v>3759</v>
      </c>
      <c r="H54">
        <v>8789</v>
      </c>
      <c r="I54">
        <v>62</v>
      </c>
      <c r="J54">
        <v>300</v>
      </c>
      <c r="K54">
        <v>0</v>
      </c>
      <c r="L54" t="s">
        <v>20</v>
      </c>
      <c r="M54" t="s">
        <v>21</v>
      </c>
      <c r="N54">
        <v>12548</v>
      </c>
      <c r="O54" t="s">
        <v>25</v>
      </c>
      <c r="P54" t="s">
        <v>32</v>
      </c>
    </row>
    <row r="55" spans="1:16" x14ac:dyDescent="0.3">
      <c r="A55" t="s">
        <v>85</v>
      </c>
      <c r="B55" t="s">
        <v>31</v>
      </c>
      <c r="C55" t="s">
        <v>27</v>
      </c>
      <c r="D55" t="s">
        <v>1035</v>
      </c>
      <c r="E55" t="s">
        <v>19</v>
      </c>
      <c r="F55" t="s">
        <v>27</v>
      </c>
      <c r="G55">
        <v>7271</v>
      </c>
      <c r="H55">
        <v>12522</v>
      </c>
      <c r="I55">
        <v>680</v>
      </c>
      <c r="J55">
        <v>360</v>
      </c>
      <c r="K55">
        <v>1</v>
      </c>
      <c r="L55" t="s">
        <v>29</v>
      </c>
      <c r="M55" t="s">
        <v>21</v>
      </c>
      <c r="N55">
        <v>19793</v>
      </c>
      <c r="O55" t="s">
        <v>25</v>
      </c>
      <c r="P55" t="s">
        <v>23</v>
      </c>
    </row>
    <row r="56" spans="1:16" x14ac:dyDescent="0.3">
      <c r="A56" t="s">
        <v>86</v>
      </c>
      <c r="B56" t="s">
        <v>31</v>
      </c>
      <c r="C56" t="s">
        <v>27</v>
      </c>
      <c r="D56" t="s">
        <v>1032</v>
      </c>
      <c r="E56" t="s">
        <v>19</v>
      </c>
      <c r="F56" t="s">
        <v>18</v>
      </c>
      <c r="G56">
        <v>10639</v>
      </c>
      <c r="H56">
        <v>14944</v>
      </c>
      <c r="I56">
        <v>299</v>
      </c>
      <c r="J56">
        <v>300</v>
      </c>
      <c r="K56">
        <v>1</v>
      </c>
      <c r="L56" t="s">
        <v>34</v>
      </c>
      <c r="M56" t="s">
        <v>21</v>
      </c>
      <c r="N56">
        <v>25583</v>
      </c>
      <c r="O56" t="s">
        <v>25</v>
      </c>
      <c r="P56" t="s">
        <v>23</v>
      </c>
    </row>
    <row r="57" spans="1:16" x14ac:dyDescent="0.3">
      <c r="A57" t="s">
        <v>87</v>
      </c>
      <c r="B57" t="s">
        <v>31</v>
      </c>
      <c r="C57" t="s">
        <v>27</v>
      </c>
      <c r="D57" t="s">
        <v>1034</v>
      </c>
      <c r="E57" t="s">
        <v>28</v>
      </c>
      <c r="F57" t="s">
        <v>27</v>
      </c>
      <c r="G57">
        <v>7458</v>
      </c>
      <c r="H57">
        <v>0</v>
      </c>
      <c r="I57">
        <v>413</v>
      </c>
      <c r="J57">
        <v>240</v>
      </c>
      <c r="K57">
        <v>1</v>
      </c>
      <c r="L57" t="s">
        <v>34</v>
      </c>
      <c r="M57" t="s">
        <v>21</v>
      </c>
      <c r="N57">
        <v>7458</v>
      </c>
      <c r="O57" t="s">
        <v>22</v>
      </c>
      <c r="P57" t="s">
        <v>23</v>
      </c>
    </row>
    <row r="58" spans="1:16" x14ac:dyDescent="0.3">
      <c r="A58" t="s">
        <v>88</v>
      </c>
      <c r="B58" t="s">
        <v>31</v>
      </c>
      <c r="C58" t="s">
        <v>18</v>
      </c>
      <c r="D58" t="s">
        <v>1033</v>
      </c>
      <c r="E58" t="s">
        <v>19</v>
      </c>
      <c r="F58" t="s">
        <v>18</v>
      </c>
      <c r="G58">
        <v>14817</v>
      </c>
      <c r="H58">
        <v>0</v>
      </c>
      <c r="I58">
        <v>537</v>
      </c>
      <c r="J58">
        <v>300</v>
      </c>
      <c r="K58">
        <v>1</v>
      </c>
      <c r="L58" t="s">
        <v>20</v>
      </c>
      <c r="M58" t="s">
        <v>21</v>
      </c>
      <c r="N58">
        <v>14817</v>
      </c>
      <c r="O58" t="s">
        <v>25</v>
      </c>
      <c r="P58" t="s">
        <v>23</v>
      </c>
    </row>
    <row r="59" spans="1:16" x14ac:dyDescent="0.3">
      <c r="A59" t="s">
        <v>89</v>
      </c>
      <c r="B59" t="s">
        <v>17</v>
      </c>
      <c r="C59" t="s">
        <v>27</v>
      </c>
      <c r="D59" t="s">
        <v>1033</v>
      </c>
      <c r="E59" t="s">
        <v>28</v>
      </c>
      <c r="F59" t="s">
        <v>18</v>
      </c>
      <c r="G59">
        <v>11533</v>
      </c>
      <c r="H59">
        <v>11378</v>
      </c>
      <c r="I59">
        <v>534</v>
      </c>
      <c r="J59">
        <v>360</v>
      </c>
      <c r="K59">
        <v>1</v>
      </c>
      <c r="L59" t="s">
        <v>29</v>
      </c>
      <c r="M59" t="s">
        <v>21</v>
      </c>
      <c r="N59">
        <v>22911</v>
      </c>
      <c r="O59" t="s">
        <v>25</v>
      </c>
      <c r="P59" t="s">
        <v>23</v>
      </c>
    </row>
    <row r="60" spans="1:16" x14ac:dyDescent="0.3">
      <c r="A60" t="s">
        <v>90</v>
      </c>
      <c r="B60" t="s">
        <v>31</v>
      </c>
      <c r="C60" t="s">
        <v>27</v>
      </c>
      <c r="D60" t="s">
        <v>1035</v>
      </c>
      <c r="E60" t="s">
        <v>28</v>
      </c>
      <c r="F60" t="s">
        <v>27</v>
      </c>
      <c r="G60">
        <v>9737</v>
      </c>
      <c r="H60">
        <v>0</v>
      </c>
      <c r="I60">
        <v>247</v>
      </c>
      <c r="J60">
        <v>240</v>
      </c>
      <c r="K60">
        <v>1</v>
      </c>
      <c r="L60" t="s">
        <v>34</v>
      </c>
      <c r="M60" t="s">
        <v>21</v>
      </c>
      <c r="N60">
        <v>9737</v>
      </c>
      <c r="O60" t="s">
        <v>22</v>
      </c>
      <c r="P60" t="s">
        <v>23</v>
      </c>
    </row>
    <row r="61" spans="1:16" x14ac:dyDescent="0.3">
      <c r="A61" t="s">
        <v>91</v>
      </c>
      <c r="B61" t="s">
        <v>17</v>
      </c>
      <c r="C61" t="s">
        <v>18</v>
      </c>
      <c r="D61" t="s">
        <v>1033</v>
      </c>
      <c r="E61" t="s">
        <v>28</v>
      </c>
      <c r="F61" t="s">
        <v>27</v>
      </c>
      <c r="G61">
        <v>20819</v>
      </c>
      <c r="H61">
        <v>12955</v>
      </c>
      <c r="I61">
        <v>152</v>
      </c>
      <c r="J61">
        <v>180</v>
      </c>
      <c r="K61">
        <v>1</v>
      </c>
      <c r="L61" t="s">
        <v>29</v>
      </c>
      <c r="M61" t="s">
        <v>21</v>
      </c>
      <c r="N61">
        <v>33774</v>
      </c>
      <c r="O61" t="s">
        <v>25</v>
      </c>
      <c r="P61" t="s">
        <v>23</v>
      </c>
    </row>
    <row r="62" spans="1:16" x14ac:dyDescent="0.3">
      <c r="A62" t="s">
        <v>92</v>
      </c>
      <c r="B62" t="s">
        <v>17</v>
      </c>
      <c r="C62" t="s">
        <v>27</v>
      </c>
      <c r="D62" t="s">
        <v>1034</v>
      </c>
      <c r="E62" t="s">
        <v>19</v>
      </c>
      <c r="F62" t="s">
        <v>27</v>
      </c>
      <c r="G62">
        <v>2991</v>
      </c>
      <c r="H62">
        <v>1393</v>
      </c>
      <c r="I62">
        <v>179</v>
      </c>
      <c r="J62">
        <v>300</v>
      </c>
      <c r="K62">
        <v>1</v>
      </c>
      <c r="L62" t="s">
        <v>20</v>
      </c>
      <c r="M62" t="s">
        <v>21</v>
      </c>
      <c r="N62">
        <v>4384</v>
      </c>
      <c r="O62" t="s">
        <v>35</v>
      </c>
      <c r="P62" t="s">
        <v>23</v>
      </c>
    </row>
    <row r="63" spans="1:16" x14ac:dyDescent="0.3">
      <c r="A63" t="s">
        <v>93</v>
      </c>
      <c r="B63" t="s">
        <v>31</v>
      </c>
      <c r="C63" t="s">
        <v>27</v>
      </c>
      <c r="D63" t="s">
        <v>1035</v>
      </c>
      <c r="E63" t="s">
        <v>28</v>
      </c>
      <c r="F63" t="s">
        <v>27</v>
      </c>
      <c r="G63">
        <v>7541</v>
      </c>
      <c r="H63">
        <v>1341</v>
      </c>
      <c r="I63">
        <v>539</v>
      </c>
      <c r="J63">
        <v>120</v>
      </c>
      <c r="K63">
        <v>0</v>
      </c>
      <c r="L63" t="s">
        <v>29</v>
      </c>
      <c r="M63" t="s">
        <v>21</v>
      </c>
      <c r="N63">
        <v>8882</v>
      </c>
      <c r="O63" t="s">
        <v>22</v>
      </c>
      <c r="P63" t="s">
        <v>32</v>
      </c>
    </row>
    <row r="64" spans="1:16" x14ac:dyDescent="0.3">
      <c r="A64" t="s">
        <v>94</v>
      </c>
      <c r="B64" t="s">
        <v>31</v>
      </c>
      <c r="C64" t="s">
        <v>18</v>
      </c>
      <c r="D64" t="s">
        <v>1034</v>
      </c>
      <c r="E64" t="s">
        <v>19</v>
      </c>
      <c r="F64" t="s">
        <v>18</v>
      </c>
      <c r="G64">
        <v>19943</v>
      </c>
      <c r="H64">
        <v>0</v>
      </c>
      <c r="I64">
        <v>304</v>
      </c>
      <c r="J64">
        <v>120</v>
      </c>
      <c r="K64">
        <v>1</v>
      </c>
      <c r="L64" t="s">
        <v>29</v>
      </c>
      <c r="M64" t="s">
        <v>21</v>
      </c>
      <c r="N64">
        <v>19943</v>
      </c>
      <c r="O64" t="s">
        <v>25</v>
      </c>
      <c r="P64" t="s">
        <v>23</v>
      </c>
    </row>
    <row r="65" spans="1:16" x14ac:dyDescent="0.3">
      <c r="A65" t="s">
        <v>95</v>
      </c>
      <c r="B65" t="s">
        <v>17</v>
      </c>
      <c r="C65" t="s">
        <v>27</v>
      </c>
      <c r="D65" t="s">
        <v>1035</v>
      </c>
      <c r="E65" t="s">
        <v>28</v>
      </c>
      <c r="F65" t="s">
        <v>27</v>
      </c>
      <c r="G65">
        <v>20784</v>
      </c>
      <c r="H65">
        <v>7525</v>
      </c>
      <c r="I65">
        <v>632</v>
      </c>
      <c r="J65">
        <v>360</v>
      </c>
      <c r="K65">
        <v>1</v>
      </c>
      <c r="L65" t="s">
        <v>34</v>
      </c>
      <c r="M65" t="s">
        <v>21</v>
      </c>
      <c r="N65">
        <v>28309</v>
      </c>
      <c r="O65" t="s">
        <v>25</v>
      </c>
      <c r="P65" t="s">
        <v>23</v>
      </c>
    </row>
    <row r="66" spans="1:16" x14ac:dyDescent="0.3">
      <c r="A66" t="s">
        <v>96</v>
      </c>
      <c r="B66" t="s">
        <v>17</v>
      </c>
      <c r="C66" t="s">
        <v>18</v>
      </c>
      <c r="D66" t="s">
        <v>1033</v>
      </c>
      <c r="E66" t="s">
        <v>28</v>
      </c>
      <c r="F66" t="s">
        <v>18</v>
      </c>
      <c r="G66">
        <v>6646</v>
      </c>
      <c r="H66">
        <v>0</v>
      </c>
      <c r="I66">
        <v>615</v>
      </c>
      <c r="J66">
        <v>120</v>
      </c>
      <c r="K66">
        <v>1</v>
      </c>
      <c r="L66" t="s">
        <v>29</v>
      </c>
      <c r="M66" t="s">
        <v>21</v>
      </c>
      <c r="N66">
        <v>6646</v>
      </c>
      <c r="O66" t="s">
        <v>22</v>
      </c>
      <c r="P66" t="s">
        <v>23</v>
      </c>
    </row>
    <row r="67" spans="1:16" x14ac:dyDescent="0.3">
      <c r="A67" t="s">
        <v>97</v>
      </c>
      <c r="B67" t="s">
        <v>31</v>
      </c>
      <c r="C67" t="s">
        <v>27</v>
      </c>
      <c r="D67" t="s">
        <v>1032</v>
      </c>
      <c r="E67" t="s">
        <v>19</v>
      </c>
      <c r="F67" t="s">
        <v>18</v>
      </c>
      <c r="G67">
        <v>10940</v>
      </c>
      <c r="H67">
        <v>12082</v>
      </c>
      <c r="I67">
        <v>514</v>
      </c>
      <c r="J67">
        <v>120</v>
      </c>
      <c r="K67">
        <v>1</v>
      </c>
      <c r="L67" t="s">
        <v>29</v>
      </c>
      <c r="M67" t="s">
        <v>21</v>
      </c>
      <c r="N67">
        <v>23022</v>
      </c>
      <c r="O67" t="s">
        <v>25</v>
      </c>
      <c r="P67" t="s">
        <v>23</v>
      </c>
    </row>
    <row r="68" spans="1:16" x14ac:dyDescent="0.3">
      <c r="A68" t="s">
        <v>98</v>
      </c>
      <c r="B68" t="s">
        <v>17</v>
      </c>
      <c r="C68" t="s">
        <v>27</v>
      </c>
      <c r="D68" t="s">
        <v>1034</v>
      </c>
      <c r="E68" t="s">
        <v>19</v>
      </c>
      <c r="F68" t="s">
        <v>18</v>
      </c>
      <c r="G68">
        <v>10204</v>
      </c>
      <c r="H68">
        <v>0</v>
      </c>
      <c r="I68">
        <v>123</v>
      </c>
      <c r="J68">
        <v>120</v>
      </c>
      <c r="K68">
        <v>1</v>
      </c>
      <c r="L68" t="s">
        <v>29</v>
      </c>
      <c r="M68" t="s">
        <v>21</v>
      </c>
      <c r="N68">
        <v>10204</v>
      </c>
      <c r="O68" t="s">
        <v>25</v>
      </c>
      <c r="P68" t="s">
        <v>23</v>
      </c>
    </row>
    <row r="69" spans="1:16" x14ac:dyDescent="0.3">
      <c r="A69" t="s">
        <v>99</v>
      </c>
      <c r="B69" t="s">
        <v>31</v>
      </c>
      <c r="C69" t="s">
        <v>27</v>
      </c>
      <c r="D69" t="s">
        <v>1034</v>
      </c>
      <c r="E69" t="s">
        <v>28</v>
      </c>
      <c r="F69" t="s">
        <v>27</v>
      </c>
      <c r="G69">
        <v>24428</v>
      </c>
      <c r="H69">
        <v>7094</v>
      </c>
      <c r="I69">
        <v>562</v>
      </c>
      <c r="J69">
        <v>360</v>
      </c>
      <c r="K69">
        <v>1</v>
      </c>
      <c r="L69" t="s">
        <v>20</v>
      </c>
      <c r="M69" t="s">
        <v>21</v>
      </c>
      <c r="N69">
        <v>31522</v>
      </c>
      <c r="O69" t="s">
        <v>25</v>
      </c>
      <c r="P69" t="s">
        <v>23</v>
      </c>
    </row>
    <row r="70" spans="1:16" x14ac:dyDescent="0.3">
      <c r="A70" t="s">
        <v>100</v>
      </c>
      <c r="B70" t="s">
        <v>17</v>
      </c>
      <c r="C70" t="s">
        <v>27</v>
      </c>
      <c r="D70" t="s">
        <v>1032</v>
      </c>
      <c r="E70" t="s">
        <v>28</v>
      </c>
      <c r="F70" t="s">
        <v>18</v>
      </c>
      <c r="G70">
        <v>4492</v>
      </c>
      <c r="H70">
        <v>0</v>
      </c>
      <c r="I70">
        <v>325</v>
      </c>
      <c r="J70">
        <v>360</v>
      </c>
      <c r="K70">
        <v>1</v>
      </c>
      <c r="L70" t="s">
        <v>20</v>
      </c>
      <c r="M70" t="s">
        <v>53</v>
      </c>
      <c r="N70">
        <v>4492</v>
      </c>
      <c r="O70" t="s">
        <v>35</v>
      </c>
      <c r="P70" t="s">
        <v>23</v>
      </c>
    </row>
    <row r="71" spans="1:16" x14ac:dyDescent="0.3">
      <c r="A71" t="s">
        <v>101</v>
      </c>
      <c r="B71" t="s">
        <v>31</v>
      </c>
      <c r="C71" t="s">
        <v>27</v>
      </c>
      <c r="D71" t="s">
        <v>1032</v>
      </c>
      <c r="E71" t="s">
        <v>19</v>
      </c>
      <c r="F71" t="s">
        <v>27</v>
      </c>
      <c r="G71">
        <v>22300</v>
      </c>
      <c r="H71">
        <v>13840</v>
      </c>
      <c r="I71">
        <v>143</v>
      </c>
      <c r="J71">
        <v>300</v>
      </c>
      <c r="K71">
        <v>1</v>
      </c>
      <c r="L71" t="s">
        <v>29</v>
      </c>
      <c r="M71" t="s">
        <v>21</v>
      </c>
      <c r="N71">
        <v>36140</v>
      </c>
      <c r="O71" t="s">
        <v>25</v>
      </c>
      <c r="P71" t="s">
        <v>23</v>
      </c>
    </row>
    <row r="72" spans="1:16" x14ac:dyDescent="0.3">
      <c r="A72" t="s">
        <v>102</v>
      </c>
      <c r="B72" t="s">
        <v>31</v>
      </c>
      <c r="C72" t="s">
        <v>18</v>
      </c>
      <c r="D72" t="s">
        <v>1033</v>
      </c>
      <c r="E72" t="s">
        <v>28</v>
      </c>
      <c r="F72" t="s">
        <v>27</v>
      </c>
      <c r="G72">
        <v>24230</v>
      </c>
      <c r="H72">
        <v>8617</v>
      </c>
      <c r="I72">
        <v>460</v>
      </c>
      <c r="J72">
        <v>360</v>
      </c>
      <c r="K72">
        <v>1</v>
      </c>
      <c r="L72" t="s">
        <v>20</v>
      </c>
      <c r="M72" t="s">
        <v>21</v>
      </c>
      <c r="N72">
        <v>32847</v>
      </c>
      <c r="O72" t="s">
        <v>25</v>
      </c>
      <c r="P72" t="s">
        <v>23</v>
      </c>
    </row>
    <row r="73" spans="1:16" x14ac:dyDescent="0.3">
      <c r="A73" t="s">
        <v>103</v>
      </c>
      <c r="B73" t="s">
        <v>31</v>
      </c>
      <c r="C73" t="s">
        <v>27</v>
      </c>
      <c r="D73" t="s">
        <v>1032</v>
      </c>
      <c r="E73" t="s">
        <v>19</v>
      </c>
      <c r="F73" t="s">
        <v>27</v>
      </c>
      <c r="G73">
        <v>18362</v>
      </c>
      <c r="H73">
        <v>0</v>
      </c>
      <c r="I73">
        <v>605</v>
      </c>
      <c r="J73">
        <v>300</v>
      </c>
      <c r="K73">
        <v>1</v>
      </c>
      <c r="L73" t="s">
        <v>20</v>
      </c>
      <c r="M73" t="s">
        <v>21</v>
      </c>
      <c r="N73">
        <v>18362</v>
      </c>
      <c r="O73" t="s">
        <v>25</v>
      </c>
      <c r="P73" t="s">
        <v>23</v>
      </c>
    </row>
    <row r="74" spans="1:16" x14ac:dyDescent="0.3">
      <c r="A74" t="s">
        <v>104</v>
      </c>
      <c r="B74" t="s">
        <v>31</v>
      </c>
      <c r="C74" t="s">
        <v>27</v>
      </c>
      <c r="D74" t="s">
        <v>1035</v>
      </c>
      <c r="E74" t="s">
        <v>19</v>
      </c>
      <c r="F74" t="s">
        <v>18</v>
      </c>
      <c r="G74">
        <v>10250</v>
      </c>
      <c r="H74">
        <v>0</v>
      </c>
      <c r="I74">
        <v>344</v>
      </c>
      <c r="J74">
        <v>300</v>
      </c>
      <c r="K74">
        <v>0</v>
      </c>
      <c r="L74" t="s">
        <v>29</v>
      </c>
      <c r="M74" t="s">
        <v>21</v>
      </c>
      <c r="N74">
        <v>10250</v>
      </c>
      <c r="O74" t="s">
        <v>25</v>
      </c>
      <c r="P74" t="s">
        <v>32</v>
      </c>
    </row>
    <row r="75" spans="1:16" x14ac:dyDescent="0.3">
      <c r="A75" t="s">
        <v>105</v>
      </c>
      <c r="B75" t="s">
        <v>17</v>
      </c>
      <c r="C75" t="s">
        <v>18</v>
      </c>
      <c r="D75" t="s">
        <v>1033</v>
      </c>
      <c r="E75" t="s">
        <v>19</v>
      </c>
      <c r="F75" t="s">
        <v>27</v>
      </c>
      <c r="G75">
        <v>19549</v>
      </c>
      <c r="H75">
        <v>724</v>
      </c>
      <c r="I75">
        <v>145</v>
      </c>
      <c r="J75">
        <v>180</v>
      </c>
      <c r="K75">
        <v>0</v>
      </c>
      <c r="L75" t="s">
        <v>20</v>
      </c>
      <c r="M75" t="s">
        <v>21</v>
      </c>
      <c r="N75">
        <v>20273</v>
      </c>
      <c r="O75" t="s">
        <v>25</v>
      </c>
      <c r="P75" t="s">
        <v>32</v>
      </c>
    </row>
    <row r="76" spans="1:16" x14ac:dyDescent="0.3">
      <c r="A76" t="s">
        <v>106</v>
      </c>
      <c r="B76" t="s">
        <v>31</v>
      </c>
      <c r="C76" t="s">
        <v>18</v>
      </c>
      <c r="D76" t="s">
        <v>1033</v>
      </c>
      <c r="E76" t="s">
        <v>28</v>
      </c>
      <c r="F76" t="s">
        <v>27</v>
      </c>
      <c r="G76">
        <v>18174</v>
      </c>
      <c r="H76">
        <v>12057</v>
      </c>
      <c r="I76">
        <v>475</v>
      </c>
      <c r="J76">
        <v>300</v>
      </c>
      <c r="K76">
        <v>0</v>
      </c>
      <c r="L76" t="s">
        <v>20</v>
      </c>
      <c r="M76" t="s">
        <v>21</v>
      </c>
      <c r="N76">
        <v>30231</v>
      </c>
      <c r="O76" t="s">
        <v>25</v>
      </c>
      <c r="P76" t="s">
        <v>32</v>
      </c>
    </row>
    <row r="77" spans="1:16" x14ac:dyDescent="0.3">
      <c r="A77" t="s">
        <v>107</v>
      </c>
      <c r="B77" t="s">
        <v>31</v>
      </c>
      <c r="C77" t="s">
        <v>18</v>
      </c>
      <c r="D77" t="s">
        <v>1035</v>
      </c>
      <c r="E77" t="s">
        <v>19</v>
      </c>
      <c r="F77" t="s">
        <v>18</v>
      </c>
      <c r="G77">
        <v>3787</v>
      </c>
      <c r="H77">
        <v>5026</v>
      </c>
      <c r="I77">
        <v>398</v>
      </c>
      <c r="J77">
        <v>360</v>
      </c>
      <c r="K77">
        <v>1</v>
      </c>
      <c r="L77" t="s">
        <v>20</v>
      </c>
      <c r="M77" t="s">
        <v>21</v>
      </c>
      <c r="N77">
        <v>8813</v>
      </c>
      <c r="O77" t="s">
        <v>22</v>
      </c>
      <c r="P77" t="s">
        <v>23</v>
      </c>
    </row>
    <row r="78" spans="1:16" x14ac:dyDescent="0.3">
      <c r="A78" t="s">
        <v>108</v>
      </c>
      <c r="B78" t="s">
        <v>31</v>
      </c>
      <c r="C78" t="s">
        <v>27</v>
      </c>
      <c r="D78" t="s">
        <v>1035</v>
      </c>
      <c r="E78" t="s">
        <v>19</v>
      </c>
      <c r="F78" t="s">
        <v>27</v>
      </c>
      <c r="G78">
        <v>19148</v>
      </c>
      <c r="H78">
        <v>8435</v>
      </c>
      <c r="I78">
        <v>390</v>
      </c>
      <c r="J78">
        <v>360</v>
      </c>
      <c r="K78">
        <v>1</v>
      </c>
      <c r="L78" t="s">
        <v>29</v>
      </c>
      <c r="M78" t="s">
        <v>21</v>
      </c>
      <c r="N78">
        <v>27583</v>
      </c>
      <c r="O78" t="s">
        <v>25</v>
      </c>
      <c r="P78" t="s">
        <v>23</v>
      </c>
    </row>
    <row r="79" spans="1:16" x14ac:dyDescent="0.3">
      <c r="A79" t="s">
        <v>109</v>
      </c>
      <c r="B79" t="s">
        <v>31</v>
      </c>
      <c r="C79" t="s">
        <v>27</v>
      </c>
      <c r="D79" t="s">
        <v>1033</v>
      </c>
      <c r="E79" t="s">
        <v>19</v>
      </c>
      <c r="F79" t="s">
        <v>27</v>
      </c>
      <c r="G79">
        <v>9153</v>
      </c>
      <c r="H79">
        <v>14524</v>
      </c>
      <c r="I79">
        <v>94</v>
      </c>
      <c r="J79">
        <v>240</v>
      </c>
      <c r="K79">
        <v>1</v>
      </c>
      <c r="L79" t="s">
        <v>34</v>
      </c>
      <c r="M79" t="s">
        <v>21</v>
      </c>
      <c r="N79">
        <v>23677</v>
      </c>
      <c r="O79" t="s">
        <v>25</v>
      </c>
      <c r="P79" t="s">
        <v>23</v>
      </c>
    </row>
    <row r="80" spans="1:16" x14ac:dyDescent="0.3">
      <c r="A80" t="s">
        <v>110</v>
      </c>
      <c r="B80" t="s">
        <v>31</v>
      </c>
      <c r="C80" t="s">
        <v>27</v>
      </c>
      <c r="D80" t="s">
        <v>1033</v>
      </c>
      <c r="E80" t="s">
        <v>28</v>
      </c>
      <c r="F80" t="s">
        <v>18</v>
      </c>
      <c r="G80">
        <v>5636</v>
      </c>
      <c r="H80">
        <v>8729</v>
      </c>
      <c r="I80">
        <v>152</v>
      </c>
      <c r="J80">
        <v>300</v>
      </c>
      <c r="K80">
        <v>1</v>
      </c>
      <c r="L80" t="s">
        <v>29</v>
      </c>
      <c r="M80" t="s">
        <v>21</v>
      </c>
      <c r="N80">
        <v>14365</v>
      </c>
      <c r="O80" t="s">
        <v>25</v>
      </c>
      <c r="P80" t="s">
        <v>23</v>
      </c>
    </row>
    <row r="81" spans="1:16" x14ac:dyDescent="0.3">
      <c r="A81" t="s">
        <v>111</v>
      </c>
      <c r="B81" t="s">
        <v>17</v>
      </c>
      <c r="C81" t="s">
        <v>18</v>
      </c>
      <c r="D81" t="s">
        <v>1035</v>
      </c>
      <c r="E81" t="s">
        <v>19</v>
      </c>
      <c r="F81" t="s">
        <v>18</v>
      </c>
      <c r="G81">
        <v>16884</v>
      </c>
      <c r="H81">
        <v>13304</v>
      </c>
      <c r="I81">
        <v>396</v>
      </c>
      <c r="J81">
        <v>360</v>
      </c>
      <c r="K81">
        <v>1</v>
      </c>
      <c r="L81" t="s">
        <v>34</v>
      </c>
      <c r="M81" t="s">
        <v>21</v>
      </c>
      <c r="N81">
        <v>30188</v>
      </c>
      <c r="O81" t="s">
        <v>25</v>
      </c>
      <c r="P81" t="s">
        <v>23</v>
      </c>
    </row>
    <row r="82" spans="1:16" x14ac:dyDescent="0.3">
      <c r="A82" t="s">
        <v>112</v>
      </c>
      <c r="B82" t="s">
        <v>17</v>
      </c>
      <c r="C82" t="s">
        <v>27</v>
      </c>
      <c r="D82" t="s">
        <v>1035</v>
      </c>
      <c r="E82" t="s">
        <v>28</v>
      </c>
      <c r="F82" t="s">
        <v>27</v>
      </c>
      <c r="G82">
        <v>19228</v>
      </c>
      <c r="H82">
        <v>0</v>
      </c>
      <c r="I82">
        <v>290</v>
      </c>
      <c r="J82">
        <v>240</v>
      </c>
      <c r="K82">
        <v>0</v>
      </c>
      <c r="L82" t="s">
        <v>34</v>
      </c>
      <c r="M82" t="s">
        <v>21</v>
      </c>
      <c r="N82">
        <v>19228</v>
      </c>
      <c r="O82" t="s">
        <v>25</v>
      </c>
      <c r="P82" t="s">
        <v>32</v>
      </c>
    </row>
    <row r="83" spans="1:16" x14ac:dyDescent="0.3">
      <c r="A83" t="s">
        <v>113</v>
      </c>
      <c r="B83" t="s">
        <v>17</v>
      </c>
      <c r="C83" t="s">
        <v>27</v>
      </c>
      <c r="D83" t="s">
        <v>1034</v>
      </c>
      <c r="E83" t="s">
        <v>19</v>
      </c>
      <c r="F83" t="s">
        <v>27</v>
      </c>
      <c r="G83">
        <v>6951</v>
      </c>
      <c r="H83">
        <v>11870</v>
      </c>
      <c r="I83">
        <v>79</v>
      </c>
      <c r="J83">
        <v>120</v>
      </c>
      <c r="K83">
        <v>1</v>
      </c>
      <c r="L83" t="s">
        <v>20</v>
      </c>
      <c r="M83" t="s">
        <v>21</v>
      </c>
      <c r="N83">
        <v>18821</v>
      </c>
      <c r="O83" t="s">
        <v>25</v>
      </c>
      <c r="P83" t="s">
        <v>23</v>
      </c>
    </row>
    <row r="84" spans="1:16" x14ac:dyDescent="0.3">
      <c r="A84" t="s">
        <v>114</v>
      </c>
      <c r="B84" t="s">
        <v>31</v>
      </c>
      <c r="C84" t="s">
        <v>27</v>
      </c>
      <c r="D84" t="s">
        <v>1032</v>
      </c>
      <c r="E84" t="s">
        <v>28</v>
      </c>
      <c r="F84" t="s">
        <v>18</v>
      </c>
      <c r="G84">
        <v>9501</v>
      </c>
      <c r="H84">
        <v>9202</v>
      </c>
      <c r="I84">
        <v>629</v>
      </c>
      <c r="J84">
        <v>180</v>
      </c>
      <c r="K84">
        <v>1</v>
      </c>
      <c r="L84" t="s">
        <v>20</v>
      </c>
      <c r="M84" t="s">
        <v>21</v>
      </c>
      <c r="N84">
        <v>18703</v>
      </c>
      <c r="O84" t="s">
        <v>25</v>
      </c>
      <c r="P84" t="s">
        <v>23</v>
      </c>
    </row>
    <row r="85" spans="1:16" x14ac:dyDescent="0.3">
      <c r="A85" t="s">
        <v>115</v>
      </c>
      <c r="B85" t="s">
        <v>31</v>
      </c>
      <c r="C85" t="s">
        <v>18</v>
      </c>
      <c r="D85" t="s">
        <v>1035</v>
      </c>
      <c r="E85" t="s">
        <v>19</v>
      </c>
      <c r="F85" t="s">
        <v>18</v>
      </c>
      <c r="G85">
        <v>16610</v>
      </c>
      <c r="H85">
        <v>10951</v>
      </c>
      <c r="I85">
        <v>520</v>
      </c>
      <c r="J85">
        <v>240</v>
      </c>
      <c r="K85">
        <v>1</v>
      </c>
      <c r="L85" t="s">
        <v>29</v>
      </c>
      <c r="M85" t="s">
        <v>21</v>
      </c>
      <c r="N85">
        <v>27561</v>
      </c>
      <c r="O85" t="s">
        <v>25</v>
      </c>
      <c r="P85" t="s">
        <v>23</v>
      </c>
    </row>
    <row r="86" spans="1:16" x14ac:dyDescent="0.3">
      <c r="A86" t="s">
        <v>116</v>
      </c>
      <c r="B86" t="s">
        <v>31</v>
      </c>
      <c r="C86" t="s">
        <v>18</v>
      </c>
      <c r="D86" t="s">
        <v>1034</v>
      </c>
      <c r="E86" t="s">
        <v>28</v>
      </c>
      <c r="F86" t="s">
        <v>27</v>
      </c>
      <c r="G86">
        <v>20753</v>
      </c>
      <c r="H86">
        <v>5401</v>
      </c>
      <c r="I86">
        <v>306</v>
      </c>
      <c r="J86">
        <v>300</v>
      </c>
      <c r="K86">
        <v>0</v>
      </c>
      <c r="L86" t="s">
        <v>20</v>
      </c>
      <c r="M86" t="s">
        <v>21</v>
      </c>
      <c r="N86">
        <v>26154</v>
      </c>
      <c r="O86" t="s">
        <v>25</v>
      </c>
      <c r="P86" t="s">
        <v>32</v>
      </c>
    </row>
    <row r="87" spans="1:16" x14ac:dyDescent="0.3">
      <c r="A87" t="s">
        <v>117</v>
      </c>
      <c r="B87" t="s">
        <v>31</v>
      </c>
      <c r="C87" t="s">
        <v>27</v>
      </c>
      <c r="D87" t="s">
        <v>1034</v>
      </c>
      <c r="E87" t="s">
        <v>19</v>
      </c>
      <c r="F87" t="s">
        <v>27</v>
      </c>
      <c r="G87">
        <v>20240</v>
      </c>
      <c r="H87">
        <v>6381</v>
      </c>
      <c r="I87">
        <v>352</v>
      </c>
      <c r="J87">
        <v>120</v>
      </c>
      <c r="K87">
        <v>0</v>
      </c>
      <c r="L87" t="s">
        <v>34</v>
      </c>
      <c r="M87" t="s">
        <v>21</v>
      </c>
      <c r="N87">
        <v>26621</v>
      </c>
      <c r="O87" t="s">
        <v>25</v>
      </c>
      <c r="P87" t="s">
        <v>32</v>
      </c>
    </row>
    <row r="88" spans="1:16" x14ac:dyDescent="0.3">
      <c r="A88" t="s">
        <v>118</v>
      </c>
      <c r="B88" t="s">
        <v>31</v>
      </c>
      <c r="C88" t="s">
        <v>27</v>
      </c>
      <c r="D88" t="s">
        <v>1034</v>
      </c>
      <c r="E88" t="s">
        <v>19</v>
      </c>
      <c r="F88" t="s">
        <v>27</v>
      </c>
      <c r="G88">
        <v>10878</v>
      </c>
      <c r="H88">
        <v>0</v>
      </c>
      <c r="I88">
        <v>671</v>
      </c>
      <c r="J88">
        <v>240</v>
      </c>
      <c r="K88">
        <v>1</v>
      </c>
      <c r="L88" t="s">
        <v>20</v>
      </c>
      <c r="M88" t="s">
        <v>21</v>
      </c>
      <c r="N88">
        <v>10878</v>
      </c>
      <c r="O88" t="s">
        <v>25</v>
      </c>
      <c r="P88" t="s">
        <v>23</v>
      </c>
    </row>
    <row r="89" spans="1:16" x14ac:dyDescent="0.3">
      <c r="A89" t="s">
        <v>119</v>
      </c>
      <c r="B89" t="s">
        <v>31</v>
      </c>
      <c r="C89" t="s">
        <v>18</v>
      </c>
      <c r="D89" t="s">
        <v>1034</v>
      </c>
      <c r="E89" t="s">
        <v>19</v>
      </c>
      <c r="F89" t="s">
        <v>27</v>
      </c>
      <c r="G89">
        <v>15944</v>
      </c>
      <c r="H89">
        <v>1046</v>
      </c>
      <c r="I89">
        <v>184</v>
      </c>
      <c r="J89">
        <v>120</v>
      </c>
      <c r="K89">
        <v>0</v>
      </c>
      <c r="L89" t="s">
        <v>29</v>
      </c>
      <c r="M89" t="s">
        <v>21</v>
      </c>
      <c r="N89">
        <v>16990</v>
      </c>
      <c r="O89" t="s">
        <v>25</v>
      </c>
      <c r="P89" t="s">
        <v>32</v>
      </c>
    </row>
    <row r="90" spans="1:16" x14ac:dyDescent="0.3">
      <c r="A90" t="s">
        <v>120</v>
      </c>
      <c r="B90" t="s">
        <v>31</v>
      </c>
      <c r="C90" t="s">
        <v>18</v>
      </c>
      <c r="D90" t="s">
        <v>1033</v>
      </c>
      <c r="E90" t="s">
        <v>19</v>
      </c>
      <c r="F90" t="s">
        <v>27</v>
      </c>
      <c r="G90">
        <v>18894</v>
      </c>
      <c r="H90">
        <v>8721</v>
      </c>
      <c r="I90">
        <v>218</v>
      </c>
      <c r="J90">
        <v>240</v>
      </c>
      <c r="K90">
        <v>0</v>
      </c>
      <c r="L90" t="s">
        <v>29</v>
      </c>
      <c r="M90" t="s">
        <v>21</v>
      </c>
      <c r="N90">
        <v>27615</v>
      </c>
      <c r="O90" t="s">
        <v>25</v>
      </c>
      <c r="P90" t="s">
        <v>32</v>
      </c>
    </row>
    <row r="91" spans="1:16" x14ac:dyDescent="0.3">
      <c r="A91" t="s">
        <v>121</v>
      </c>
      <c r="B91" t="s">
        <v>31</v>
      </c>
      <c r="C91" t="s">
        <v>27</v>
      </c>
      <c r="D91" t="s">
        <v>1034</v>
      </c>
      <c r="E91" t="s">
        <v>28</v>
      </c>
      <c r="F91" t="s">
        <v>18</v>
      </c>
      <c r="G91">
        <v>6112</v>
      </c>
      <c r="H91">
        <v>0</v>
      </c>
      <c r="I91">
        <v>456</v>
      </c>
      <c r="J91">
        <v>360</v>
      </c>
      <c r="K91">
        <v>1</v>
      </c>
      <c r="L91" t="s">
        <v>29</v>
      </c>
      <c r="M91" t="s">
        <v>21</v>
      </c>
      <c r="N91">
        <v>6112</v>
      </c>
      <c r="O91" t="s">
        <v>22</v>
      </c>
      <c r="P91" t="s">
        <v>23</v>
      </c>
    </row>
    <row r="92" spans="1:16" x14ac:dyDescent="0.3">
      <c r="A92" t="s">
        <v>122</v>
      </c>
      <c r="B92" t="s">
        <v>17</v>
      </c>
      <c r="C92" t="s">
        <v>27</v>
      </c>
      <c r="D92" t="s">
        <v>1034</v>
      </c>
      <c r="E92" t="s">
        <v>28</v>
      </c>
      <c r="F92" t="s">
        <v>27</v>
      </c>
      <c r="G92">
        <v>23547</v>
      </c>
      <c r="H92">
        <v>12771</v>
      </c>
      <c r="I92">
        <v>648</v>
      </c>
      <c r="J92">
        <v>300</v>
      </c>
      <c r="K92">
        <v>0</v>
      </c>
      <c r="L92" t="s">
        <v>29</v>
      </c>
      <c r="M92" t="s">
        <v>21</v>
      </c>
      <c r="N92">
        <v>36318</v>
      </c>
      <c r="O92" t="s">
        <v>25</v>
      </c>
      <c r="P92" t="s">
        <v>32</v>
      </c>
    </row>
    <row r="93" spans="1:16" x14ac:dyDescent="0.3">
      <c r="A93" t="s">
        <v>123</v>
      </c>
      <c r="B93" t="s">
        <v>17</v>
      </c>
      <c r="C93" t="s">
        <v>18</v>
      </c>
      <c r="D93" t="s">
        <v>1035</v>
      </c>
      <c r="E93" t="s">
        <v>19</v>
      </c>
      <c r="F93" t="s">
        <v>27</v>
      </c>
      <c r="G93">
        <v>21491</v>
      </c>
      <c r="H93">
        <v>0</v>
      </c>
      <c r="I93">
        <v>700</v>
      </c>
      <c r="J93">
        <v>300</v>
      </c>
      <c r="K93">
        <v>0</v>
      </c>
      <c r="L93" t="s">
        <v>29</v>
      </c>
      <c r="M93" t="s">
        <v>21</v>
      </c>
      <c r="N93">
        <v>21491</v>
      </c>
      <c r="O93" t="s">
        <v>25</v>
      </c>
      <c r="P93" t="s">
        <v>32</v>
      </c>
    </row>
    <row r="94" spans="1:16" x14ac:dyDescent="0.3">
      <c r="A94" t="s">
        <v>124</v>
      </c>
      <c r="B94" t="s">
        <v>31</v>
      </c>
      <c r="C94" t="s">
        <v>18</v>
      </c>
      <c r="D94" t="s">
        <v>1033</v>
      </c>
      <c r="E94" t="s">
        <v>19</v>
      </c>
      <c r="F94" t="s">
        <v>18</v>
      </c>
      <c r="G94">
        <v>11473</v>
      </c>
      <c r="H94">
        <v>0</v>
      </c>
      <c r="I94">
        <v>149</v>
      </c>
      <c r="J94">
        <v>180</v>
      </c>
      <c r="K94">
        <v>0</v>
      </c>
      <c r="L94" t="s">
        <v>20</v>
      </c>
      <c r="M94" t="s">
        <v>21</v>
      </c>
      <c r="N94">
        <v>11473</v>
      </c>
      <c r="O94" t="s">
        <v>25</v>
      </c>
      <c r="P94" t="s">
        <v>32</v>
      </c>
    </row>
    <row r="95" spans="1:16" x14ac:dyDescent="0.3">
      <c r="A95" t="s">
        <v>125</v>
      </c>
      <c r="B95" t="s">
        <v>31</v>
      </c>
      <c r="C95" t="s">
        <v>27</v>
      </c>
      <c r="D95" t="s">
        <v>1032</v>
      </c>
      <c r="E95" t="s">
        <v>28</v>
      </c>
      <c r="F95" t="s">
        <v>18</v>
      </c>
      <c r="G95">
        <v>15094</v>
      </c>
      <c r="H95">
        <v>0</v>
      </c>
      <c r="I95">
        <v>551</v>
      </c>
      <c r="J95">
        <v>360</v>
      </c>
      <c r="K95">
        <v>1</v>
      </c>
      <c r="L95" t="s">
        <v>29</v>
      </c>
      <c r="M95" t="s">
        <v>21</v>
      </c>
      <c r="N95">
        <v>15094</v>
      </c>
      <c r="O95" t="s">
        <v>25</v>
      </c>
      <c r="P95" t="s">
        <v>23</v>
      </c>
    </row>
    <row r="96" spans="1:16" x14ac:dyDescent="0.3">
      <c r="A96" t="s">
        <v>126</v>
      </c>
      <c r="B96" t="s">
        <v>17</v>
      </c>
      <c r="C96" t="s">
        <v>27</v>
      </c>
      <c r="D96" t="s">
        <v>1033</v>
      </c>
      <c r="E96" t="s">
        <v>28</v>
      </c>
      <c r="F96" t="s">
        <v>27</v>
      </c>
      <c r="G96">
        <v>9236</v>
      </c>
      <c r="H96">
        <v>14515</v>
      </c>
      <c r="I96">
        <v>151</v>
      </c>
      <c r="J96">
        <v>240</v>
      </c>
      <c r="K96">
        <v>1</v>
      </c>
      <c r="L96" t="s">
        <v>34</v>
      </c>
      <c r="M96" t="s">
        <v>21</v>
      </c>
      <c r="N96">
        <v>23751</v>
      </c>
      <c r="O96" t="s">
        <v>25</v>
      </c>
      <c r="P96" t="s">
        <v>23</v>
      </c>
    </row>
    <row r="97" spans="1:16" x14ac:dyDescent="0.3">
      <c r="A97" t="s">
        <v>127</v>
      </c>
      <c r="B97" t="s">
        <v>31</v>
      </c>
      <c r="C97" t="s">
        <v>18</v>
      </c>
      <c r="D97" t="s">
        <v>1035</v>
      </c>
      <c r="E97" t="s">
        <v>28</v>
      </c>
      <c r="F97" t="s">
        <v>18</v>
      </c>
      <c r="G97">
        <v>5502</v>
      </c>
      <c r="H97">
        <v>14394</v>
      </c>
      <c r="I97">
        <v>143</v>
      </c>
      <c r="J97">
        <v>180</v>
      </c>
      <c r="K97">
        <v>1</v>
      </c>
      <c r="L97" t="s">
        <v>34</v>
      </c>
      <c r="M97" t="s">
        <v>21</v>
      </c>
      <c r="N97">
        <v>19896</v>
      </c>
      <c r="O97" t="s">
        <v>25</v>
      </c>
      <c r="P97" t="s">
        <v>23</v>
      </c>
    </row>
    <row r="98" spans="1:16" x14ac:dyDescent="0.3">
      <c r="A98" t="s">
        <v>128</v>
      </c>
      <c r="B98" t="s">
        <v>17</v>
      </c>
      <c r="C98" t="s">
        <v>18</v>
      </c>
      <c r="D98" t="s">
        <v>1032</v>
      </c>
      <c r="E98" t="s">
        <v>19</v>
      </c>
      <c r="F98" t="s">
        <v>18</v>
      </c>
      <c r="G98">
        <v>20000</v>
      </c>
      <c r="H98">
        <v>0</v>
      </c>
      <c r="I98">
        <v>617</v>
      </c>
      <c r="J98">
        <v>180</v>
      </c>
      <c r="K98">
        <v>1</v>
      </c>
      <c r="L98" t="s">
        <v>20</v>
      </c>
      <c r="M98" t="s">
        <v>21</v>
      </c>
      <c r="N98">
        <v>20000</v>
      </c>
      <c r="O98" t="s">
        <v>25</v>
      </c>
      <c r="P98" t="s">
        <v>23</v>
      </c>
    </row>
    <row r="99" spans="1:16" x14ac:dyDescent="0.3">
      <c r="A99" t="s">
        <v>129</v>
      </c>
      <c r="B99" t="s">
        <v>31</v>
      </c>
      <c r="C99" t="s">
        <v>18</v>
      </c>
      <c r="D99" t="s">
        <v>1034</v>
      </c>
      <c r="E99" t="s">
        <v>28</v>
      </c>
      <c r="F99" t="s">
        <v>18</v>
      </c>
      <c r="G99">
        <v>5759</v>
      </c>
      <c r="H99">
        <v>9350</v>
      </c>
      <c r="I99">
        <v>228</v>
      </c>
      <c r="J99">
        <v>120</v>
      </c>
      <c r="K99">
        <v>1</v>
      </c>
      <c r="L99" t="s">
        <v>20</v>
      </c>
      <c r="M99" t="s">
        <v>21</v>
      </c>
      <c r="N99">
        <v>15109</v>
      </c>
      <c r="O99" t="s">
        <v>25</v>
      </c>
      <c r="P99" t="s">
        <v>23</v>
      </c>
    </row>
    <row r="100" spans="1:16" x14ac:dyDescent="0.3">
      <c r="A100" t="s">
        <v>130</v>
      </c>
      <c r="B100" t="s">
        <v>17</v>
      </c>
      <c r="C100" t="s">
        <v>18</v>
      </c>
      <c r="D100" t="s">
        <v>1032</v>
      </c>
      <c r="E100" t="s">
        <v>19</v>
      </c>
      <c r="F100" t="s">
        <v>27</v>
      </c>
      <c r="G100">
        <v>2017</v>
      </c>
      <c r="H100">
        <v>3354</v>
      </c>
      <c r="I100">
        <v>103</v>
      </c>
      <c r="J100">
        <v>180</v>
      </c>
      <c r="K100">
        <v>1</v>
      </c>
      <c r="L100" t="s">
        <v>34</v>
      </c>
      <c r="M100" t="s">
        <v>21</v>
      </c>
      <c r="N100">
        <v>5371</v>
      </c>
      <c r="O100" t="s">
        <v>22</v>
      </c>
      <c r="P100" t="s">
        <v>23</v>
      </c>
    </row>
    <row r="101" spans="1:16" x14ac:dyDescent="0.3">
      <c r="A101" t="s">
        <v>131</v>
      </c>
      <c r="B101" t="s">
        <v>17</v>
      </c>
      <c r="C101" t="s">
        <v>18</v>
      </c>
      <c r="D101" t="s">
        <v>1035</v>
      </c>
      <c r="E101" t="s">
        <v>28</v>
      </c>
      <c r="F101" t="s">
        <v>27</v>
      </c>
      <c r="G101">
        <v>18317</v>
      </c>
      <c r="H101">
        <v>0</v>
      </c>
      <c r="I101">
        <v>512</v>
      </c>
      <c r="J101">
        <v>360</v>
      </c>
      <c r="K101">
        <v>1</v>
      </c>
      <c r="L101" t="s">
        <v>34</v>
      </c>
      <c r="M101" t="s">
        <v>21</v>
      </c>
      <c r="N101">
        <v>18317</v>
      </c>
      <c r="O101" t="s">
        <v>25</v>
      </c>
      <c r="P101" t="s">
        <v>23</v>
      </c>
    </row>
    <row r="102" spans="1:16" x14ac:dyDescent="0.3">
      <c r="A102" t="s">
        <v>132</v>
      </c>
      <c r="B102" t="s">
        <v>17</v>
      </c>
      <c r="C102" t="s">
        <v>27</v>
      </c>
      <c r="D102" t="s">
        <v>1035</v>
      </c>
      <c r="E102" t="s">
        <v>19</v>
      </c>
      <c r="F102" t="s">
        <v>18</v>
      </c>
      <c r="G102">
        <v>17195</v>
      </c>
      <c r="H102">
        <v>14382</v>
      </c>
      <c r="I102">
        <v>486</v>
      </c>
      <c r="J102">
        <v>120</v>
      </c>
      <c r="K102">
        <v>1</v>
      </c>
      <c r="L102" t="s">
        <v>29</v>
      </c>
      <c r="M102" t="s">
        <v>21</v>
      </c>
      <c r="N102">
        <v>31577</v>
      </c>
      <c r="O102" t="s">
        <v>25</v>
      </c>
      <c r="P102" t="s">
        <v>23</v>
      </c>
    </row>
    <row r="103" spans="1:16" x14ac:dyDescent="0.3">
      <c r="A103" t="s">
        <v>133</v>
      </c>
      <c r="B103" t="s">
        <v>17</v>
      </c>
      <c r="C103" t="s">
        <v>18</v>
      </c>
      <c r="D103" t="s">
        <v>1032</v>
      </c>
      <c r="E103" t="s">
        <v>19</v>
      </c>
      <c r="F103" t="s">
        <v>18</v>
      </c>
      <c r="G103">
        <v>5635</v>
      </c>
      <c r="H103">
        <v>5005</v>
      </c>
      <c r="I103">
        <v>440</v>
      </c>
      <c r="J103">
        <v>360</v>
      </c>
      <c r="K103">
        <v>1</v>
      </c>
      <c r="L103" t="s">
        <v>29</v>
      </c>
      <c r="M103" t="s">
        <v>21</v>
      </c>
      <c r="N103">
        <v>10640</v>
      </c>
      <c r="O103" t="s">
        <v>25</v>
      </c>
      <c r="P103" t="s">
        <v>23</v>
      </c>
    </row>
    <row r="104" spans="1:16" x14ac:dyDescent="0.3">
      <c r="A104" t="s">
        <v>134</v>
      </c>
      <c r="B104" t="s">
        <v>31</v>
      </c>
      <c r="C104" t="s">
        <v>18</v>
      </c>
      <c r="D104" t="s">
        <v>1034</v>
      </c>
      <c r="E104" t="s">
        <v>19</v>
      </c>
      <c r="F104" t="s">
        <v>27</v>
      </c>
      <c r="G104">
        <v>16296</v>
      </c>
      <c r="H104">
        <v>4243</v>
      </c>
      <c r="I104">
        <v>397</v>
      </c>
      <c r="J104">
        <v>300</v>
      </c>
      <c r="K104">
        <v>1</v>
      </c>
      <c r="L104" t="s">
        <v>34</v>
      </c>
      <c r="M104" t="s">
        <v>21</v>
      </c>
      <c r="N104">
        <v>20539</v>
      </c>
      <c r="O104" t="s">
        <v>25</v>
      </c>
      <c r="P104" t="s">
        <v>23</v>
      </c>
    </row>
    <row r="105" spans="1:16" x14ac:dyDescent="0.3">
      <c r="A105" t="s">
        <v>135</v>
      </c>
      <c r="B105" t="s">
        <v>17</v>
      </c>
      <c r="C105" t="s">
        <v>27</v>
      </c>
      <c r="D105" t="s">
        <v>1035</v>
      </c>
      <c r="E105" t="s">
        <v>28</v>
      </c>
      <c r="F105" t="s">
        <v>27</v>
      </c>
      <c r="G105">
        <v>13765</v>
      </c>
      <c r="H105">
        <v>3000</v>
      </c>
      <c r="I105">
        <v>118</v>
      </c>
      <c r="J105">
        <v>120</v>
      </c>
      <c r="K105">
        <v>0</v>
      </c>
      <c r="L105" t="s">
        <v>20</v>
      </c>
      <c r="M105" t="s">
        <v>21</v>
      </c>
      <c r="N105">
        <v>16765</v>
      </c>
      <c r="O105" t="s">
        <v>25</v>
      </c>
      <c r="P105" t="s">
        <v>32</v>
      </c>
    </row>
    <row r="106" spans="1:16" x14ac:dyDescent="0.3">
      <c r="A106" t="s">
        <v>136</v>
      </c>
      <c r="B106" t="s">
        <v>31</v>
      </c>
      <c r="C106" t="s">
        <v>18</v>
      </c>
      <c r="D106" t="s">
        <v>1032</v>
      </c>
      <c r="E106" t="s">
        <v>19</v>
      </c>
      <c r="F106" t="s">
        <v>18</v>
      </c>
      <c r="G106">
        <v>20717</v>
      </c>
      <c r="H106">
        <v>9701</v>
      </c>
      <c r="I106">
        <v>175</v>
      </c>
      <c r="J106">
        <v>300</v>
      </c>
      <c r="K106">
        <v>1</v>
      </c>
      <c r="L106" t="s">
        <v>34</v>
      </c>
      <c r="M106" t="s">
        <v>21</v>
      </c>
      <c r="N106">
        <v>30418</v>
      </c>
      <c r="O106" t="s">
        <v>25</v>
      </c>
      <c r="P106" t="s">
        <v>23</v>
      </c>
    </row>
    <row r="107" spans="1:16" x14ac:dyDescent="0.3">
      <c r="A107" t="s">
        <v>137</v>
      </c>
      <c r="B107" t="s">
        <v>31</v>
      </c>
      <c r="C107" t="s">
        <v>18</v>
      </c>
      <c r="D107" t="s">
        <v>1032</v>
      </c>
      <c r="E107" t="s">
        <v>28</v>
      </c>
      <c r="F107" t="s">
        <v>27</v>
      </c>
      <c r="G107">
        <v>4894</v>
      </c>
      <c r="H107">
        <v>0</v>
      </c>
      <c r="I107">
        <v>208</v>
      </c>
      <c r="J107">
        <v>300</v>
      </c>
      <c r="K107">
        <v>1</v>
      </c>
      <c r="L107" t="s">
        <v>20</v>
      </c>
      <c r="M107" t="s">
        <v>53</v>
      </c>
      <c r="N107">
        <v>4894</v>
      </c>
      <c r="O107" t="s">
        <v>35</v>
      </c>
      <c r="P107" t="s">
        <v>23</v>
      </c>
    </row>
    <row r="108" spans="1:16" x14ac:dyDescent="0.3">
      <c r="A108" t="s">
        <v>138</v>
      </c>
      <c r="B108" t="s">
        <v>31</v>
      </c>
      <c r="C108" t="s">
        <v>27</v>
      </c>
      <c r="D108" t="s">
        <v>1034</v>
      </c>
      <c r="E108" t="s">
        <v>28</v>
      </c>
      <c r="F108" t="s">
        <v>18</v>
      </c>
      <c r="G108">
        <v>15561</v>
      </c>
      <c r="H108">
        <v>0</v>
      </c>
      <c r="I108">
        <v>673</v>
      </c>
      <c r="J108">
        <v>240</v>
      </c>
      <c r="K108">
        <v>1</v>
      </c>
      <c r="L108" t="s">
        <v>29</v>
      </c>
      <c r="M108" t="s">
        <v>21</v>
      </c>
      <c r="N108">
        <v>15561</v>
      </c>
      <c r="O108" t="s">
        <v>25</v>
      </c>
      <c r="P108" t="s">
        <v>23</v>
      </c>
    </row>
    <row r="109" spans="1:16" x14ac:dyDescent="0.3">
      <c r="A109" t="s">
        <v>139</v>
      </c>
      <c r="B109" t="s">
        <v>31</v>
      </c>
      <c r="C109" t="s">
        <v>27</v>
      </c>
      <c r="D109" t="s">
        <v>1032</v>
      </c>
      <c r="E109" t="s">
        <v>19</v>
      </c>
      <c r="F109" t="s">
        <v>18</v>
      </c>
      <c r="G109">
        <v>6194</v>
      </c>
      <c r="H109">
        <v>9778</v>
      </c>
      <c r="I109">
        <v>121</v>
      </c>
      <c r="J109">
        <v>180</v>
      </c>
      <c r="K109">
        <v>1</v>
      </c>
      <c r="L109" t="s">
        <v>20</v>
      </c>
      <c r="M109" t="s">
        <v>21</v>
      </c>
      <c r="N109">
        <v>15972</v>
      </c>
      <c r="O109" t="s">
        <v>25</v>
      </c>
      <c r="P109" t="s">
        <v>23</v>
      </c>
    </row>
    <row r="110" spans="1:16" x14ac:dyDescent="0.3">
      <c r="A110" t="s">
        <v>140</v>
      </c>
      <c r="B110" t="s">
        <v>17</v>
      </c>
      <c r="C110" t="s">
        <v>18</v>
      </c>
      <c r="D110" t="s">
        <v>1035</v>
      </c>
      <c r="E110" t="s">
        <v>28</v>
      </c>
      <c r="F110" t="s">
        <v>27</v>
      </c>
      <c r="G110">
        <v>12670</v>
      </c>
      <c r="H110">
        <v>3078</v>
      </c>
      <c r="I110">
        <v>369</v>
      </c>
      <c r="J110">
        <v>240</v>
      </c>
      <c r="K110">
        <v>1</v>
      </c>
      <c r="L110" t="s">
        <v>34</v>
      </c>
      <c r="M110" t="s">
        <v>21</v>
      </c>
      <c r="N110">
        <v>15748</v>
      </c>
      <c r="O110" t="s">
        <v>25</v>
      </c>
      <c r="P110" t="s">
        <v>23</v>
      </c>
    </row>
    <row r="111" spans="1:16" x14ac:dyDescent="0.3">
      <c r="A111" t="s">
        <v>141</v>
      </c>
      <c r="B111" t="s">
        <v>17</v>
      </c>
      <c r="C111" t="s">
        <v>18</v>
      </c>
      <c r="D111" t="s">
        <v>1033</v>
      </c>
      <c r="E111" t="s">
        <v>19</v>
      </c>
      <c r="F111" t="s">
        <v>18</v>
      </c>
      <c r="G111">
        <v>23584</v>
      </c>
      <c r="H111">
        <v>1836</v>
      </c>
      <c r="I111">
        <v>503</v>
      </c>
      <c r="J111">
        <v>300</v>
      </c>
      <c r="K111">
        <v>1</v>
      </c>
      <c r="L111" t="s">
        <v>29</v>
      </c>
      <c r="M111" t="s">
        <v>21</v>
      </c>
      <c r="N111">
        <v>25420</v>
      </c>
      <c r="O111" t="s">
        <v>25</v>
      </c>
      <c r="P111" t="s">
        <v>23</v>
      </c>
    </row>
    <row r="112" spans="1:16" x14ac:dyDescent="0.3">
      <c r="A112" t="s">
        <v>142</v>
      </c>
      <c r="B112" t="s">
        <v>31</v>
      </c>
      <c r="C112" t="s">
        <v>27</v>
      </c>
      <c r="D112" t="s">
        <v>1033</v>
      </c>
      <c r="E112" t="s">
        <v>19</v>
      </c>
      <c r="F112" t="s">
        <v>27</v>
      </c>
      <c r="G112">
        <v>15587</v>
      </c>
      <c r="H112">
        <v>2316</v>
      </c>
      <c r="I112">
        <v>657</v>
      </c>
      <c r="J112">
        <v>300</v>
      </c>
      <c r="K112">
        <v>1</v>
      </c>
      <c r="L112" t="s">
        <v>29</v>
      </c>
      <c r="M112" t="s">
        <v>21</v>
      </c>
      <c r="N112">
        <v>17903</v>
      </c>
      <c r="O112" t="s">
        <v>25</v>
      </c>
      <c r="P112" t="s">
        <v>23</v>
      </c>
    </row>
    <row r="113" spans="1:16" x14ac:dyDescent="0.3">
      <c r="A113" t="s">
        <v>143</v>
      </c>
      <c r="B113" t="s">
        <v>17</v>
      </c>
      <c r="C113" t="s">
        <v>18</v>
      </c>
      <c r="D113" t="s">
        <v>1035</v>
      </c>
      <c r="E113" t="s">
        <v>19</v>
      </c>
      <c r="F113" t="s">
        <v>18</v>
      </c>
      <c r="G113">
        <v>8198</v>
      </c>
      <c r="H113">
        <v>0</v>
      </c>
      <c r="I113">
        <v>190</v>
      </c>
      <c r="J113">
        <v>240</v>
      </c>
      <c r="K113">
        <v>1</v>
      </c>
      <c r="L113" t="s">
        <v>20</v>
      </c>
      <c r="M113" t="s">
        <v>21</v>
      </c>
      <c r="N113">
        <v>8198</v>
      </c>
      <c r="O113" t="s">
        <v>22</v>
      </c>
      <c r="P113" t="s">
        <v>23</v>
      </c>
    </row>
    <row r="114" spans="1:16" x14ac:dyDescent="0.3">
      <c r="A114" t="s">
        <v>144</v>
      </c>
      <c r="B114" t="s">
        <v>17</v>
      </c>
      <c r="C114" t="s">
        <v>27</v>
      </c>
      <c r="D114" t="s">
        <v>1035</v>
      </c>
      <c r="E114" t="s">
        <v>19</v>
      </c>
      <c r="F114" t="s">
        <v>18</v>
      </c>
      <c r="G114">
        <v>13958</v>
      </c>
      <c r="H114">
        <v>0</v>
      </c>
      <c r="I114">
        <v>562</v>
      </c>
      <c r="J114">
        <v>360</v>
      </c>
      <c r="K114">
        <v>0</v>
      </c>
      <c r="L114" t="s">
        <v>29</v>
      </c>
      <c r="M114" t="s">
        <v>21</v>
      </c>
      <c r="N114">
        <v>13958</v>
      </c>
      <c r="O114" t="s">
        <v>25</v>
      </c>
      <c r="P114" t="s">
        <v>32</v>
      </c>
    </row>
    <row r="115" spans="1:16" x14ac:dyDescent="0.3">
      <c r="A115" t="s">
        <v>145</v>
      </c>
      <c r="B115" t="s">
        <v>17</v>
      </c>
      <c r="C115" t="s">
        <v>27</v>
      </c>
      <c r="D115" t="s">
        <v>1034</v>
      </c>
      <c r="E115" t="s">
        <v>28</v>
      </c>
      <c r="F115" t="s">
        <v>18</v>
      </c>
      <c r="G115">
        <v>16565</v>
      </c>
      <c r="H115">
        <v>1775</v>
      </c>
      <c r="I115">
        <v>639</v>
      </c>
      <c r="J115">
        <v>300</v>
      </c>
      <c r="K115">
        <v>1</v>
      </c>
      <c r="L115" t="s">
        <v>34</v>
      </c>
      <c r="M115" t="s">
        <v>21</v>
      </c>
      <c r="N115">
        <v>18340</v>
      </c>
      <c r="O115" t="s">
        <v>25</v>
      </c>
      <c r="P115" t="s">
        <v>23</v>
      </c>
    </row>
    <row r="116" spans="1:16" x14ac:dyDescent="0.3">
      <c r="A116" t="s">
        <v>146</v>
      </c>
      <c r="B116" t="s">
        <v>31</v>
      </c>
      <c r="C116" t="s">
        <v>27</v>
      </c>
      <c r="D116" t="s">
        <v>1034</v>
      </c>
      <c r="E116" t="s">
        <v>28</v>
      </c>
      <c r="F116" t="s">
        <v>18</v>
      </c>
      <c r="G116">
        <v>12142</v>
      </c>
      <c r="H116">
        <v>3315</v>
      </c>
      <c r="I116">
        <v>420</v>
      </c>
      <c r="J116">
        <v>120</v>
      </c>
      <c r="K116">
        <v>1</v>
      </c>
      <c r="L116" t="s">
        <v>20</v>
      </c>
      <c r="M116" t="s">
        <v>21</v>
      </c>
      <c r="N116">
        <v>15457</v>
      </c>
      <c r="O116" t="s">
        <v>25</v>
      </c>
      <c r="P116" t="s">
        <v>23</v>
      </c>
    </row>
    <row r="117" spans="1:16" x14ac:dyDescent="0.3">
      <c r="A117" t="s">
        <v>147</v>
      </c>
      <c r="B117" t="s">
        <v>17</v>
      </c>
      <c r="C117" t="s">
        <v>27</v>
      </c>
      <c r="D117" t="s">
        <v>1035</v>
      </c>
      <c r="E117" t="s">
        <v>19</v>
      </c>
      <c r="F117" t="s">
        <v>27</v>
      </c>
      <c r="G117">
        <v>11667</v>
      </c>
      <c r="H117">
        <v>12719</v>
      </c>
      <c r="I117">
        <v>276</v>
      </c>
      <c r="J117">
        <v>240</v>
      </c>
      <c r="K117">
        <v>1</v>
      </c>
      <c r="L117" t="s">
        <v>20</v>
      </c>
      <c r="M117" t="s">
        <v>21</v>
      </c>
      <c r="N117">
        <v>24386</v>
      </c>
      <c r="O117" t="s">
        <v>25</v>
      </c>
      <c r="P117" t="s">
        <v>23</v>
      </c>
    </row>
    <row r="118" spans="1:16" x14ac:dyDescent="0.3">
      <c r="A118" t="s">
        <v>148</v>
      </c>
      <c r="B118" t="s">
        <v>17</v>
      </c>
      <c r="C118" t="s">
        <v>18</v>
      </c>
      <c r="D118" t="s">
        <v>1032</v>
      </c>
      <c r="E118" t="s">
        <v>28</v>
      </c>
      <c r="F118" t="s">
        <v>18</v>
      </c>
      <c r="G118">
        <v>9242</v>
      </c>
      <c r="H118">
        <v>0</v>
      </c>
      <c r="I118">
        <v>312</v>
      </c>
      <c r="J118">
        <v>180</v>
      </c>
      <c r="K118">
        <v>1</v>
      </c>
      <c r="L118" t="s">
        <v>20</v>
      </c>
      <c r="M118" t="s">
        <v>21</v>
      </c>
      <c r="N118">
        <v>9242</v>
      </c>
      <c r="O118" t="s">
        <v>22</v>
      </c>
      <c r="P118" t="s">
        <v>23</v>
      </c>
    </row>
    <row r="119" spans="1:16" x14ac:dyDescent="0.3">
      <c r="A119" t="s">
        <v>149</v>
      </c>
      <c r="B119" t="s">
        <v>17</v>
      </c>
      <c r="C119" t="s">
        <v>18</v>
      </c>
      <c r="D119" t="s">
        <v>1035</v>
      </c>
      <c r="E119" t="s">
        <v>28</v>
      </c>
      <c r="F119" t="s">
        <v>27</v>
      </c>
      <c r="G119">
        <v>23819</v>
      </c>
      <c r="H119">
        <v>14951</v>
      </c>
      <c r="I119">
        <v>692</v>
      </c>
      <c r="J119">
        <v>240</v>
      </c>
      <c r="K119">
        <v>1</v>
      </c>
      <c r="L119" t="s">
        <v>20</v>
      </c>
      <c r="M119" t="s">
        <v>21</v>
      </c>
      <c r="N119">
        <v>38770</v>
      </c>
      <c r="O119" t="s">
        <v>25</v>
      </c>
      <c r="P119" t="s">
        <v>23</v>
      </c>
    </row>
    <row r="120" spans="1:16" x14ac:dyDescent="0.3">
      <c r="A120" t="s">
        <v>150</v>
      </c>
      <c r="B120" t="s">
        <v>31</v>
      </c>
      <c r="C120" t="s">
        <v>27</v>
      </c>
      <c r="D120" t="s">
        <v>1032</v>
      </c>
      <c r="E120" t="s">
        <v>28</v>
      </c>
      <c r="F120" t="s">
        <v>18</v>
      </c>
      <c r="G120">
        <v>13032</v>
      </c>
      <c r="H120">
        <v>0</v>
      </c>
      <c r="I120">
        <v>367</v>
      </c>
      <c r="J120">
        <v>300</v>
      </c>
      <c r="K120">
        <v>1</v>
      </c>
      <c r="L120" t="s">
        <v>20</v>
      </c>
      <c r="M120" t="s">
        <v>21</v>
      </c>
      <c r="N120">
        <v>13032</v>
      </c>
      <c r="O120" t="s">
        <v>25</v>
      </c>
      <c r="P120" t="s">
        <v>23</v>
      </c>
    </row>
    <row r="121" spans="1:16" x14ac:dyDescent="0.3">
      <c r="A121" t="s">
        <v>151</v>
      </c>
      <c r="B121" t="s">
        <v>31</v>
      </c>
      <c r="C121" t="s">
        <v>27</v>
      </c>
      <c r="D121" t="s">
        <v>1034</v>
      </c>
      <c r="E121" t="s">
        <v>19</v>
      </c>
      <c r="F121" t="s">
        <v>27</v>
      </c>
      <c r="G121">
        <v>16662</v>
      </c>
      <c r="H121">
        <v>0</v>
      </c>
      <c r="I121">
        <v>510</v>
      </c>
      <c r="J121">
        <v>360</v>
      </c>
      <c r="K121">
        <v>1</v>
      </c>
      <c r="L121" t="s">
        <v>29</v>
      </c>
      <c r="M121" t="s">
        <v>21</v>
      </c>
      <c r="N121">
        <v>16662</v>
      </c>
      <c r="O121" t="s">
        <v>25</v>
      </c>
      <c r="P121" t="s">
        <v>23</v>
      </c>
    </row>
    <row r="122" spans="1:16" x14ac:dyDescent="0.3">
      <c r="A122" t="s">
        <v>152</v>
      </c>
      <c r="B122" t="s">
        <v>31</v>
      </c>
      <c r="C122" t="s">
        <v>18</v>
      </c>
      <c r="D122" t="s">
        <v>1034</v>
      </c>
      <c r="E122" t="s">
        <v>28</v>
      </c>
      <c r="F122" t="s">
        <v>18</v>
      </c>
      <c r="G122">
        <v>12753</v>
      </c>
      <c r="H122">
        <v>0</v>
      </c>
      <c r="I122">
        <v>566</v>
      </c>
      <c r="J122">
        <v>180</v>
      </c>
      <c r="K122">
        <v>1</v>
      </c>
      <c r="L122" t="s">
        <v>34</v>
      </c>
      <c r="M122" t="s">
        <v>21</v>
      </c>
      <c r="N122">
        <v>12753</v>
      </c>
      <c r="O122" t="s">
        <v>25</v>
      </c>
      <c r="P122" t="s">
        <v>23</v>
      </c>
    </row>
    <row r="123" spans="1:16" x14ac:dyDescent="0.3">
      <c r="A123" t="s">
        <v>153</v>
      </c>
      <c r="B123" t="s">
        <v>31</v>
      </c>
      <c r="C123" t="s">
        <v>27</v>
      </c>
      <c r="D123" t="s">
        <v>1033</v>
      </c>
      <c r="E123" t="s">
        <v>28</v>
      </c>
      <c r="F123" t="s">
        <v>27</v>
      </c>
      <c r="G123">
        <v>10769</v>
      </c>
      <c r="H123">
        <v>6847</v>
      </c>
      <c r="I123">
        <v>396</v>
      </c>
      <c r="J123">
        <v>360</v>
      </c>
      <c r="K123">
        <v>1</v>
      </c>
      <c r="L123" t="s">
        <v>34</v>
      </c>
      <c r="M123" t="s">
        <v>21</v>
      </c>
      <c r="N123">
        <v>17616</v>
      </c>
      <c r="O123" t="s">
        <v>25</v>
      </c>
      <c r="P123" t="s">
        <v>23</v>
      </c>
    </row>
    <row r="124" spans="1:16" x14ac:dyDescent="0.3">
      <c r="A124" t="s">
        <v>154</v>
      </c>
      <c r="B124" t="s">
        <v>31</v>
      </c>
      <c r="C124" t="s">
        <v>18</v>
      </c>
      <c r="D124" t="s">
        <v>1032</v>
      </c>
      <c r="E124" t="s">
        <v>19</v>
      </c>
      <c r="F124" t="s">
        <v>27</v>
      </c>
      <c r="G124">
        <v>10810</v>
      </c>
      <c r="H124">
        <v>0</v>
      </c>
      <c r="I124">
        <v>391</v>
      </c>
      <c r="J124">
        <v>120</v>
      </c>
      <c r="K124">
        <v>1</v>
      </c>
      <c r="L124" t="s">
        <v>20</v>
      </c>
      <c r="M124" t="s">
        <v>21</v>
      </c>
      <c r="N124">
        <v>10810</v>
      </c>
      <c r="O124" t="s">
        <v>25</v>
      </c>
      <c r="P124" t="s">
        <v>23</v>
      </c>
    </row>
    <row r="125" spans="1:16" x14ac:dyDescent="0.3">
      <c r="A125" t="s">
        <v>155</v>
      </c>
      <c r="B125" t="s">
        <v>31</v>
      </c>
      <c r="C125" t="s">
        <v>27</v>
      </c>
      <c r="D125" t="s">
        <v>1035</v>
      </c>
      <c r="E125" t="s">
        <v>19</v>
      </c>
      <c r="F125" t="s">
        <v>18</v>
      </c>
      <c r="G125">
        <v>11644</v>
      </c>
      <c r="H125">
        <v>9657</v>
      </c>
      <c r="I125">
        <v>386</v>
      </c>
      <c r="J125">
        <v>180</v>
      </c>
      <c r="K125">
        <v>1</v>
      </c>
      <c r="L125" t="s">
        <v>34</v>
      </c>
      <c r="M125" t="s">
        <v>21</v>
      </c>
      <c r="N125">
        <v>21301</v>
      </c>
      <c r="O125" t="s">
        <v>25</v>
      </c>
      <c r="P125" t="s">
        <v>23</v>
      </c>
    </row>
    <row r="126" spans="1:16" x14ac:dyDescent="0.3">
      <c r="A126" t="s">
        <v>156</v>
      </c>
      <c r="B126" t="s">
        <v>17</v>
      </c>
      <c r="C126" t="s">
        <v>27</v>
      </c>
      <c r="D126" t="s">
        <v>1032</v>
      </c>
      <c r="E126" t="s">
        <v>19</v>
      </c>
      <c r="F126" t="s">
        <v>27</v>
      </c>
      <c r="G126">
        <v>11620</v>
      </c>
      <c r="H126">
        <v>0</v>
      </c>
      <c r="I126">
        <v>399</v>
      </c>
      <c r="J126">
        <v>300</v>
      </c>
      <c r="K126">
        <v>1</v>
      </c>
      <c r="L126" t="s">
        <v>20</v>
      </c>
      <c r="M126" t="s">
        <v>21</v>
      </c>
      <c r="N126">
        <v>11620</v>
      </c>
      <c r="O126" t="s">
        <v>25</v>
      </c>
      <c r="P126" t="s">
        <v>23</v>
      </c>
    </row>
    <row r="127" spans="1:16" x14ac:dyDescent="0.3">
      <c r="A127" t="s">
        <v>157</v>
      </c>
      <c r="B127" t="s">
        <v>17</v>
      </c>
      <c r="C127" t="s">
        <v>18</v>
      </c>
      <c r="D127" t="s">
        <v>1032</v>
      </c>
      <c r="E127" t="s">
        <v>19</v>
      </c>
      <c r="F127" t="s">
        <v>18</v>
      </c>
      <c r="G127">
        <v>23190</v>
      </c>
      <c r="H127">
        <v>0</v>
      </c>
      <c r="I127">
        <v>661</v>
      </c>
      <c r="J127">
        <v>300</v>
      </c>
      <c r="K127">
        <v>1</v>
      </c>
      <c r="L127" t="s">
        <v>20</v>
      </c>
      <c r="M127" t="s">
        <v>21</v>
      </c>
      <c r="N127">
        <v>23190</v>
      </c>
      <c r="O127" t="s">
        <v>25</v>
      </c>
      <c r="P127" t="s">
        <v>23</v>
      </c>
    </row>
    <row r="128" spans="1:16" x14ac:dyDescent="0.3">
      <c r="A128" t="s">
        <v>158</v>
      </c>
      <c r="B128" t="s">
        <v>17</v>
      </c>
      <c r="C128" t="s">
        <v>27</v>
      </c>
      <c r="D128" t="s">
        <v>1034</v>
      </c>
      <c r="E128" t="s">
        <v>28</v>
      </c>
      <c r="F128" t="s">
        <v>27</v>
      </c>
      <c r="G128">
        <v>23663</v>
      </c>
      <c r="H128">
        <v>0</v>
      </c>
      <c r="I128">
        <v>504</v>
      </c>
      <c r="J128">
        <v>360</v>
      </c>
      <c r="K128">
        <v>1</v>
      </c>
      <c r="L128" t="s">
        <v>34</v>
      </c>
      <c r="M128" t="s">
        <v>21</v>
      </c>
      <c r="N128">
        <v>23663</v>
      </c>
      <c r="O128" t="s">
        <v>25</v>
      </c>
      <c r="P128" t="s">
        <v>23</v>
      </c>
    </row>
    <row r="129" spans="1:16" x14ac:dyDescent="0.3">
      <c r="A129" t="s">
        <v>159</v>
      </c>
      <c r="B129" t="s">
        <v>31</v>
      </c>
      <c r="C129" t="s">
        <v>18</v>
      </c>
      <c r="D129" t="s">
        <v>1033</v>
      </c>
      <c r="E129" t="s">
        <v>28</v>
      </c>
      <c r="F129" t="s">
        <v>27</v>
      </c>
      <c r="G129">
        <v>7857</v>
      </c>
      <c r="H129">
        <v>6526</v>
      </c>
      <c r="I129">
        <v>522</v>
      </c>
      <c r="J129">
        <v>240</v>
      </c>
      <c r="K129">
        <v>1</v>
      </c>
      <c r="L129" t="s">
        <v>34</v>
      </c>
      <c r="M129" t="s">
        <v>21</v>
      </c>
      <c r="N129">
        <v>14383</v>
      </c>
      <c r="O129" t="s">
        <v>25</v>
      </c>
      <c r="P129" t="s">
        <v>23</v>
      </c>
    </row>
    <row r="130" spans="1:16" x14ac:dyDescent="0.3">
      <c r="A130" t="s">
        <v>160</v>
      </c>
      <c r="B130" t="s">
        <v>31</v>
      </c>
      <c r="C130" t="s">
        <v>18</v>
      </c>
      <c r="D130" t="s">
        <v>1033</v>
      </c>
      <c r="E130" t="s">
        <v>19</v>
      </c>
      <c r="F130" t="s">
        <v>27</v>
      </c>
      <c r="G130">
        <v>3209</v>
      </c>
      <c r="H130">
        <v>11005</v>
      </c>
      <c r="I130">
        <v>430</v>
      </c>
      <c r="J130">
        <v>360</v>
      </c>
      <c r="K130">
        <v>0</v>
      </c>
      <c r="L130" t="s">
        <v>34</v>
      </c>
      <c r="M130" t="s">
        <v>21</v>
      </c>
      <c r="N130">
        <v>14214</v>
      </c>
      <c r="O130" t="s">
        <v>25</v>
      </c>
      <c r="P130" t="s">
        <v>32</v>
      </c>
    </row>
    <row r="131" spans="1:16" x14ac:dyDescent="0.3">
      <c r="A131" t="s">
        <v>161</v>
      </c>
      <c r="B131" t="s">
        <v>17</v>
      </c>
      <c r="C131" t="s">
        <v>27</v>
      </c>
      <c r="D131" t="s">
        <v>1034</v>
      </c>
      <c r="E131" t="s">
        <v>19</v>
      </c>
      <c r="F131" t="s">
        <v>27</v>
      </c>
      <c r="G131">
        <v>16223</v>
      </c>
      <c r="H131">
        <v>0</v>
      </c>
      <c r="I131">
        <v>497</v>
      </c>
      <c r="J131">
        <v>120</v>
      </c>
      <c r="K131">
        <v>0</v>
      </c>
      <c r="L131" t="s">
        <v>20</v>
      </c>
      <c r="M131" t="s">
        <v>21</v>
      </c>
      <c r="N131">
        <v>16223</v>
      </c>
      <c r="O131" t="s">
        <v>25</v>
      </c>
      <c r="P131" t="s">
        <v>32</v>
      </c>
    </row>
    <row r="132" spans="1:16" x14ac:dyDescent="0.3">
      <c r="A132" t="s">
        <v>162</v>
      </c>
      <c r="B132" t="s">
        <v>31</v>
      </c>
      <c r="C132" t="s">
        <v>27</v>
      </c>
      <c r="D132" t="s">
        <v>1034</v>
      </c>
      <c r="E132" t="s">
        <v>28</v>
      </c>
      <c r="F132" t="s">
        <v>18</v>
      </c>
      <c r="G132">
        <v>14491</v>
      </c>
      <c r="H132">
        <v>8724</v>
      </c>
      <c r="I132">
        <v>291</v>
      </c>
      <c r="J132">
        <v>300</v>
      </c>
      <c r="K132">
        <v>0</v>
      </c>
      <c r="L132" t="s">
        <v>29</v>
      </c>
      <c r="M132" t="s">
        <v>21</v>
      </c>
      <c r="N132">
        <v>23215</v>
      </c>
      <c r="O132" t="s">
        <v>25</v>
      </c>
      <c r="P132" t="s">
        <v>32</v>
      </c>
    </row>
    <row r="133" spans="1:16" x14ac:dyDescent="0.3">
      <c r="A133" t="s">
        <v>163</v>
      </c>
      <c r="B133" t="s">
        <v>17</v>
      </c>
      <c r="C133" t="s">
        <v>18</v>
      </c>
      <c r="D133" t="s">
        <v>1032</v>
      </c>
      <c r="E133" t="s">
        <v>19</v>
      </c>
      <c r="F133" t="s">
        <v>27</v>
      </c>
      <c r="G133">
        <v>6285</v>
      </c>
      <c r="H133">
        <v>0</v>
      </c>
      <c r="I133">
        <v>343</v>
      </c>
      <c r="J133">
        <v>300</v>
      </c>
      <c r="K133">
        <v>1</v>
      </c>
      <c r="L133" t="s">
        <v>20</v>
      </c>
      <c r="M133" t="s">
        <v>21</v>
      </c>
      <c r="N133">
        <v>6285</v>
      </c>
      <c r="O133" t="s">
        <v>22</v>
      </c>
      <c r="P133" t="s">
        <v>23</v>
      </c>
    </row>
    <row r="134" spans="1:16" x14ac:dyDescent="0.3">
      <c r="A134" t="s">
        <v>164</v>
      </c>
      <c r="B134" t="s">
        <v>31</v>
      </c>
      <c r="C134" t="s">
        <v>27</v>
      </c>
      <c r="D134" t="s">
        <v>1034</v>
      </c>
      <c r="E134" t="s">
        <v>19</v>
      </c>
      <c r="F134" t="s">
        <v>18</v>
      </c>
      <c r="G134">
        <v>9886</v>
      </c>
      <c r="H134">
        <v>0</v>
      </c>
      <c r="I134">
        <v>611</v>
      </c>
      <c r="J134">
        <v>360</v>
      </c>
      <c r="K134">
        <v>1</v>
      </c>
      <c r="L134" t="s">
        <v>20</v>
      </c>
      <c r="M134" t="s">
        <v>21</v>
      </c>
      <c r="N134">
        <v>9886</v>
      </c>
      <c r="O134" t="s">
        <v>22</v>
      </c>
      <c r="P134" t="s">
        <v>23</v>
      </c>
    </row>
    <row r="135" spans="1:16" x14ac:dyDescent="0.3">
      <c r="A135" t="s">
        <v>165</v>
      </c>
      <c r="B135" t="s">
        <v>31</v>
      </c>
      <c r="C135" t="s">
        <v>18</v>
      </c>
      <c r="D135" t="s">
        <v>1032</v>
      </c>
      <c r="E135" t="s">
        <v>19</v>
      </c>
      <c r="F135" t="s">
        <v>18</v>
      </c>
      <c r="G135">
        <v>9313</v>
      </c>
      <c r="H135">
        <v>7378</v>
      </c>
      <c r="I135">
        <v>114</v>
      </c>
      <c r="J135">
        <v>120</v>
      </c>
      <c r="K135">
        <v>0</v>
      </c>
      <c r="L135" t="s">
        <v>29</v>
      </c>
      <c r="M135" t="s">
        <v>21</v>
      </c>
      <c r="N135">
        <v>16691</v>
      </c>
      <c r="O135" t="s">
        <v>25</v>
      </c>
      <c r="P135" t="s">
        <v>32</v>
      </c>
    </row>
    <row r="136" spans="1:16" x14ac:dyDescent="0.3">
      <c r="A136" t="s">
        <v>166</v>
      </c>
      <c r="B136" t="s">
        <v>17</v>
      </c>
      <c r="C136" t="s">
        <v>18</v>
      </c>
      <c r="D136" t="s">
        <v>1033</v>
      </c>
      <c r="E136" t="s">
        <v>28</v>
      </c>
      <c r="F136" t="s">
        <v>27</v>
      </c>
      <c r="G136">
        <v>1551</v>
      </c>
      <c r="H136">
        <v>10573</v>
      </c>
      <c r="I136">
        <v>296</v>
      </c>
      <c r="J136">
        <v>360</v>
      </c>
      <c r="K136">
        <v>1</v>
      </c>
      <c r="L136" t="s">
        <v>34</v>
      </c>
      <c r="M136" t="s">
        <v>21</v>
      </c>
      <c r="N136">
        <v>12124</v>
      </c>
      <c r="O136" t="s">
        <v>25</v>
      </c>
      <c r="P136" t="s">
        <v>23</v>
      </c>
    </row>
    <row r="137" spans="1:16" x14ac:dyDescent="0.3">
      <c r="A137" t="s">
        <v>167</v>
      </c>
      <c r="B137" t="s">
        <v>17</v>
      </c>
      <c r="C137" t="s">
        <v>27</v>
      </c>
      <c r="D137" t="s">
        <v>1034</v>
      </c>
      <c r="E137" t="s">
        <v>19</v>
      </c>
      <c r="F137" t="s">
        <v>27</v>
      </c>
      <c r="G137">
        <v>16905</v>
      </c>
      <c r="H137">
        <v>1213</v>
      </c>
      <c r="I137">
        <v>432</v>
      </c>
      <c r="J137">
        <v>240</v>
      </c>
      <c r="K137">
        <v>1</v>
      </c>
      <c r="L137" t="s">
        <v>29</v>
      </c>
      <c r="M137" t="s">
        <v>21</v>
      </c>
      <c r="N137">
        <v>18118</v>
      </c>
      <c r="O137" t="s">
        <v>25</v>
      </c>
      <c r="P137" t="s">
        <v>23</v>
      </c>
    </row>
    <row r="138" spans="1:16" x14ac:dyDescent="0.3">
      <c r="A138" t="s">
        <v>168</v>
      </c>
      <c r="B138" t="s">
        <v>17</v>
      </c>
      <c r="C138" t="s">
        <v>27</v>
      </c>
      <c r="D138" t="s">
        <v>1033</v>
      </c>
      <c r="E138" t="s">
        <v>19</v>
      </c>
      <c r="F138" t="s">
        <v>27</v>
      </c>
      <c r="G138">
        <v>5871</v>
      </c>
      <c r="H138">
        <v>1226</v>
      </c>
      <c r="I138">
        <v>609</v>
      </c>
      <c r="J138">
        <v>240</v>
      </c>
      <c r="K138">
        <v>0</v>
      </c>
      <c r="L138" t="s">
        <v>20</v>
      </c>
      <c r="M138" t="s">
        <v>53</v>
      </c>
      <c r="N138">
        <v>7097</v>
      </c>
      <c r="O138" t="s">
        <v>22</v>
      </c>
      <c r="P138" t="s">
        <v>32</v>
      </c>
    </row>
    <row r="139" spans="1:16" x14ac:dyDescent="0.3">
      <c r="A139" t="s">
        <v>169</v>
      </c>
      <c r="B139" t="s">
        <v>31</v>
      </c>
      <c r="C139" t="s">
        <v>27</v>
      </c>
      <c r="D139" t="s">
        <v>1033</v>
      </c>
      <c r="E139" t="s">
        <v>19</v>
      </c>
      <c r="F139" t="s">
        <v>18</v>
      </c>
      <c r="G139">
        <v>24963</v>
      </c>
      <c r="H139">
        <v>13217</v>
      </c>
      <c r="I139">
        <v>87</v>
      </c>
      <c r="J139">
        <v>240</v>
      </c>
      <c r="K139">
        <v>1</v>
      </c>
      <c r="L139" t="s">
        <v>20</v>
      </c>
      <c r="M139" t="s">
        <v>21</v>
      </c>
      <c r="N139">
        <v>38180</v>
      </c>
      <c r="O139" t="s">
        <v>25</v>
      </c>
      <c r="P139" t="s">
        <v>23</v>
      </c>
    </row>
    <row r="140" spans="1:16" x14ac:dyDescent="0.3">
      <c r="A140" t="s">
        <v>170</v>
      </c>
      <c r="B140" t="s">
        <v>17</v>
      </c>
      <c r="C140" t="s">
        <v>27</v>
      </c>
      <c r="D140" t="s">
        <v>1032</v>
      </c>
      <c r="E140" t="s">
        <v>28</v>
      </c>
      <c r="F140" t="s">
        <v>27</v>
      </c>
      <c r="G140">
        <v>9800</v>
      </c>
      <c r="H140">
        <v>0</v>
      </c>
      <c r="I140">
        <v>342</v>
      </c>
      <c r="J140">
        <v>240</v>
      </c>
      <c r="K140">
        <v>0</v>
      </c>
      <c r="L140" t="s">
        <v>20</v>
      </c>
      <c r="M140" t="s">
        <v>21</v>
      </c>
      <c r="N140">
        <v>9800</v>
      </c>
      <c r="O140" t="s">
        <v>22</v>
      </c>
      <c r="P140" t="s">
        <v>32</v>
      </c>
    </row>
    <row r="141" spans="1:16" x14ac:dyDescent="0.3">
      <c r="A141" t="s">
        <v>171</v>
      </c>
      <c r="B141" t="s">
        <v>31</v>
      </c>
      <c r="C141" t="s">
        <v>27</v>
      </c>
      <c r="D141" t="s">
        <v>1034</v>
      </c>
      <c r="E141" t="s">
        <v>28</v>
      </c>
      <c r="F141" t="s">
        <v>27</v>
      </c>
      <c r="G141">
        <v>14607</v>
      </c>
      <c r="H141">
        <v>12678</v>
      </c>
      <c r="I141">
        <v>445</v>
      </c>
      <c r="J141">
        <v>240</v>
      </c>
      <c r="K141">
        <v>0</v>
      </c>
      <c r="L141" t="s">
        <v>29</v>
      </c>
      <c r="M141" t="s">
        <v>21</v>
      </c>
      <c r="N141">
        <v>27285</v>
      </c>
      <c r="O141" t="s">
        <v>25</v>
      </c>
      <c r="P141" t="s">
        <v>32</v>
      </c>
    </row>
    <row r="142" spans="1:16" x14ac:dyDescent="0.3">
      <c r="A142" t="s">
        <v>172</v>
      </c>
      <c r="B142" t="s">
        <v>31</v>
      </c>
      <c r="C142" t="s">
        <v>27</v>
      </c>
      <c r="D142" t="s">
        <v>1032</v>
      </c>
      <c r="E142" t="s">
        <v>19</v>
      </c>
      <c r="F142" t="s">
        <v>27</v>
      </c>
      <c r="G142">
        <v>4086</v>
      </c>
      <c r="H142">
        <v>0</v>
      </c>
      <c r="I142">
        <v>608</v>
      </c>
      <c r="J142">
        <v>240</v>
      </c>
      <c r="K142">
        <v>1</v>
      </c>
      <c r="L142" t="s">
        <v>20</v>
      </c>
      <c r="M142" t="s">
        <v>21</v>
      </c>
      <c r="N142">
        <v>4086</v>
      </c>
      <c r="O142" t="s">
        <v>35</v>
      </c>
      <c r="P142" t="s">
        <v>23</v>
      </c>
    </row>
    <row r="143" spans="1:16" x14ac:dyDescent="0.3">
      <c r="A143" t="s">
        <v>173</v>
      </c>
      <c r="B143" t="s">
        <v>31</v>
      </c>
      <c r="C143" t="s">
        <v>27</v>
      </c>
      <c r="D143" t="s">
        <v>1032</v>
      </c>
      <c r="E143" t="s">
        <v>28</v>
      </c>
      <c r="F143" t="s">
        <v>27</v>
      </c>
      <c r="G143">
        <v>6960</v>
      </c>
      <c r="H143">
        <v>11801</v>
      </c>
      <c r="I143">
        <v>409</v>
      </c>
      <c r="J143">
        <v>300</v>
      </c>
      <c r="K143">
        <v>1</v>
      </c>
      <c r="L143" t="s">
        <v>29</v>
      </c>
      <c r="M143" t="s">
        <v>21</v>
      </c>
      <c r="N143">
        <v>18761</v>
      </c>
      <c r="O143" t="s">
        <v>25</v>
      </c>
      <c r="P143" t="s">
        <v>23</v>
      </c>
    </row>
    <row r="144" spans="1:16" x14ac:dyDescent="0.3">
      <c r="A144" t="s">
        <v>174</v>
      </c>
      <c r="B144" t="s">
        <v>31</v>
      </c>
      <c r="C144" t="s">
        <v>27</v>
      </c>
      <c r="D144" t="s">
        <v>1034</v>
      </c>
      <c r="E144" t="s">
        <v>19</v>
      </c>
      <c r="F144" t="s">
        <v>27</v>
      </c>
      <c r="G144">
        <v>13404</v>
      </c>
      <c r="H144">
        <v>0</v>
      </c>
      <c r="I144">
        <v>81</v>
      </c>
      <c r="J144">
        <v>180</v>
      </c>
      <c r="K144">
        <v>0</v>
      </c>
      <c r="L144" t="s">
        <v>34</v>
      </c>
      <c r="M144" t="s">
        <v>21</v>
      </c>
      <c r="N144">
        <v>13404</v>
      </c>
      <c r="O144" t="s">
        <v>25</v>
      </c>
      <c r="P144" t="s">
        <v>32</v>
      </c>
    </row>
    <row r="145" spans="1:16" x14ac:dyDescent="0.3">
      <c r="A145" t="s">
        <v>175</v>
      </c>
      <c r="B145" t="s">
        <v>31</v>
      </c>
      <c r="C145" t="s">
        <v>18</v>
      </c>
      <c r="D145" t="s">
        <v>1033</v>
      </c>
      <c r="E145" t="s">
        <v>19</v>
      </c>
      <c r="F145" t="s">
        <v>18</v>
      </c>
      <c r="G145">
        <v>22640</v>
      </c>
      <c r="H145">
        <v>6501</v>
      </c>
      <c r="I145">
        <v>442</v>
      </c>
      <c r="J145">
        <v>360</v>
      </c>
      <c r="K145">
        <v>1</v>
      </c>
      <c r="L145" t="s">
        <v>20</v>
      </c>
      <c r="M145" t="s">
        <v>21</v>
      </c>
      <c r="N145">
        <v>29141</v>
      </c>
      <c r="O145" t="s">
        <v>25</v>
      </c>
      <c r="P145" t="s">
        <v>23</v>
      </c>
    </row>
    <row r="146" spans="1:16" x14ac:dyDescent="0.3">
      <c r="A146" t="s">
        <v>176</v>
      </c>
      <c r="B146" t="s">
        <v>31</v>
      </c>
      <c r="C146" t="s">
        <v>27</v>
      </c>
      <c r="D146" t="s">
        <v>1032</v>
      </c>
      <c r="E146" t="s">
        <v>28</v>
      </c>
      <c r="F146" t="s">
        <v>18</v>
      </c>
      <c r="G146">
        <v>20306</v>
      </c>
      <c r="H146">
        <v>2755</v>
      </c>
      <c r="I146">
        <v>457</v>
      </c>
      <c r="J146">
        <v>240</v>
      </c>
      <c r="K146">
        <v>1</v>
      </c>
      <c r="L146" t="s">
        <v>20</v>
      </c>
      <c r="M146" t="s">
        <v>21</v>
      </c>
      <c r="N146">
        <v>23061</v>
      </c>
      <c r="O146" t="s">
        <v>25</v>
      </c>
      <c r="P146" t="s">
        <v>23</v>
      </c>
    </row>
    <row r="147" spans="1:16" x14ac:dyDescent="0.3">
      <c r="A147" t="s">
        <v>177</v>
      </c>
      <c r="B147" t="s">
        <v>17</v>
      </c>
      <c r="C147" t="s">
        <v>18</v>
      </c>
      <c r="D147" t="s">
        <v>1033</v>
      </c>
      <c r="E147" t="s">
        <v>28</v>
      </c>
      <c r="F147" t="s">
        <v>27</v>
      </c>
      <c r="G147">
        <v>19904</v>
      </c>
      <c r="H147">
        <v>2429</v>
      </c>
      <c r="I147">
        <v>316</v>
      </c>
      <c r="J147">
        <v>300</v>
      </c>
      <c r="K147">
        <v>1</v>
      </c>
      <c r="L147" t="s">
        <v>34</v>
      </c>
      <c r="M147" t="s">
        <v>21</v>
      </c>
      <c r="N147">
        <v>22333</v>
      </c>
      <c r="O147" t="s">
        <v>25</v>
      </c>
      <c r="P147" t="s">
        <v>23</v>
      </c>
    </row>
    <row r="148" spans="1:16" x14ac:dyDescent="0.3">
      <c r="A148" t="s">
        <v>178</v>
      </c>
      <c r="B148" t="s">
        <v>31</v>
      </c>
      <c r="C148" t="s">
        <v>27</v>
      </c>
      <c r="D148" t="s">
        <v>1033</v>
      </c>
      <c r="E148" t="s">
        <v>19</v>
      </c>
      <c r="F148" t="s">
        <v>18</v>
      </c>
      <c r="G148">
        <v>3926</v>
      </c>
      <c r="H148">
        <v>0</v>
      </c>
      <c r="I148">
        <v>505</v>
      </c>
      <c r="J148">
        <v>120</v>
      </c>
      <c r="K148">
        <v>0</v>
      </c>
      <c r="L148" t="s">
        <v>29</v>
      </c>
      <c r="M148" t="s">
        <v>53</v>
      </c>
      <c r="N148">
        <v>3926</v>
      </c>
      <c r="O148" t="s">
        <v>35</v>
      </c>
      <c r="P148" t="s">
        <v>32</v>
      </c>
    </row>
    <row r="149" spans="1:16" x14ac:dyDescent="0.3">
      <c r="A149" t="s">
        <v>179</v>
      </c>
      <c r="B149" t="s">
        <v>31</v>
      </c>
      <c r="C149" t="s">
        <v>18</v>
      </c>
      <c r="D149" t="s">
        <v>1032</v>
      </c>
      <c r="E149" t="s">
        <v>28</v>
      </c>
      <c r="F149" t="s">
        <v>18</v>
      </c>
      <c r="G149">
        <v>24824</v>
      </c>
      <c r="H149">
        <v>0</v>
      </c>
      <c r="I149">
        <v>420</v>
      </c>
      <c r="J149">
        <v>360</v>
      </c>
      <c r="K149">
        <v>1</v>
      </c>
      <c r="L149" t="s">
        <v>20</v>
      </c>
      <c r="M149" t="s">
        <v>21</v>
      </c>
      <c r="N149">
        <v>24824</v>
      </c>
      <c r="O149" t="s">
        <v>25</v>
      </c>
      <c r="P149" t="s">
        <v>23</v>
      </c>
    </row>
    <row r="150" spans="1:16" x14ac:dyDescent="0.3">
      <c r="A150" t="s">
        <v>180</v>
      </c>
      <c r="B150" t="s">
        <v>17</v>
      </c>
      <c r="C150" t="s">
        <v>18</v>
      </c>
      <c r="D150" t="s">
        <v>1035</v>
      </c>
      <c r="E150" t="s">
        <v>19</v>
      </c>
      <c r="F150" t="s">
        <v>27</v>
      </c>
      <c r="G150">
        <v>19654</v>
      </c>
      <c r="H150">
        <v>9876</v>
      </c>
      <c r="I150">
        <v>528</v>
      </c>
      <c r="J150">
        <v>360</v>
      </c>
      <c r="K150">
        <v>1</v>
      </c>
      <c r="L150" t="s">
        <v>20</v>
      </c>
      <c r="M150" t="s">
        <v>21</v>
      </c>
      <c r="N150">
        <v>29530</v>
      </c>
      <c r="O150" t="s">
        <v>25</v>
      </c>
      <c r="P150" t="s">
        <v>23</v>
      </c>
    </row>
    <row r="151" spans="1:16" x14ac:dyDescent="0.3">
      <c r="A151" t="s">
        <v>181</v>
      </c>
      <c r="B151" t="s">
        <v>17</v>
      </c>
      <c r="C151" t="s">
        <v>27</v>
      </c>
      <c r="D151" t="s">
        <v>1035</v>
      </c>
      <c r="E151" t="s">
        <v>28</v>
      </c>
      <c r="F151" t="s">
        <v>27</v>
      </c>
      <c r="G151">
        <v>14916</v>
      </c>
      <c r="H151">
        <v>0</v>
      </c>
      <c r="I151">
        <v>178</v>
      </c>
      <c r="J151">
        <v>240</v>
      </c>
      <c r="K151">
        <v>1</v>
      </c>
      <c r="L151" t="s">
        <v>29</v>
      </c>
      <c r="M151" t="s">
        <v>21</v>
      </c>
      <c r="N151">
        <v>14916</v>
      </c>
      <c r="O151" t="s">
        <v>25</v>
      </c>
      <c r="P151" t="s">
        <v>23</v>
      </c>
    </row>
    <row r="152" spans="1:16" x14ac:dyDescent="0.3">
      <c r="A152" t="s">
        <v>182</v>
      </c>
      <c r="B152" t="s">
        <v>31</v>
      </c>
      <c r="C152" t="s">
        <v>27</v>
      </c>
      <c r="D152" t="s">
        <v>1033</v>
      </c>
      <c r="E152" t="s">
        <v>19</v>
      </c>
      <c r="F152" t="s">
        <v>18</v>
      </c>
      <c r="G152">
        <v>15676</v>
      </c>
      <c r="H152">
        <v>0</v>
      </c>
      <c r="I152">
        <v>177</v>
      </c>
      <c r="J152">
        <v>360</v>
      </c>
      <c r="K152">
        <v>1</v>
      </c>
      <c r="L152" t="s">
        <v>20</v>
      </c>
      <c r="M152" t="s">
        <v>21</v>
      </c>
      <c r="N152">
        <v>15676</v>
      </c>
      <c r="O152" t="s">
        <v>25</v>
      </c>
      <c r="P152" t="s">
        <v>23</v>
      </c>
    </row>
    <row r="153" spans="1:16" x14ac:dyDescent="0.3">
      <c r="A153" t="s">
        <v>183</v>
      </c>
      <c r="B153" t="s">
        <v>17</v>
      </c>
      <c r="C153" t="s">
        <v>27</v>
      </c>
      <c r="D153" t="s">
        <v>1033</v>
      </c>
      <c r="E153" t="s">
        <v>28</v>
      </c>
      <c r="F153" t="s">
        <v>27</v>
      </c>
      <c r="G153">
        <v>4084</v>
      </c>
      <c r="H153">
        <v>0</v>
      </c>
      <c r="I153">
        <v>700</v>
      </c>
      <c r="J153">
        <v>360</v>
      </c>
      <c r="K153">
        <v>1</v>
      </c>
      <c r="L153" t="s">
        <v>34</v>
      </c>
      <c r="M153" t="s">
        <v>53</v>
      </c>
      <c r="N153">
        <v>4084</v>
      </c>
      <c r="O153" t="s">
        <v>35</v>
      </c>
      <c r="P153" t="s">
        <v>23</v>
      </c>
    </row>
    <row r="154" spans="1:16" x14ac:dyDescent="0.3">
      <c r="A154" t="s">
        <v>184</v>
      </c>
      <c r="B154" t="s">
        <v>31</v>
      </c>
      <c r="C154" t="s">
        <v>18</v>
      </c>
      <c r="D154" t="s">
        <v>1033</v>
      </c>
      <c r="E154" t="s">
        <v>19</v>
      </c>
      <c r="F154" t="s">
        <v>18</v>
      </c>
      <c r="G154">
        <v>23085</v>
      </c>
      <c r="H154">
        <v>10731</v>
      </c>
      <c r="I154">
        <v>627</v>
      </c>
      <c r="J154">
        <v>120</v>
      </c>
      <c r="K154">
        <v>0</v>
      </c>
      <c r="L154" t="s">
        <v>20</v>
      </c>
      <c r="M154" t="s">
        <v>21</v>
      </c>
      <c r="N154">
        <v>33816</v>
      </c>
      <c r="O154" t="s">
        <v>25</v>
      </c>
      <c r="P154" t="s">
        <v>32</v>
      </c>
    </row>
    <row r="155" spans="1:16" x14ac:dyDescent="0.3">
      <c r="A155" t="s">
        <v>185</v>
      </c>
      <c r="B155" t="s">
        <v>17</v>
      </c>
      <c r="C155" t="s">
        <v>18</v>
      </c>
      <c r="D155" t="s">
        <v>1032</v>
      </c>
      <c r="E155" t="s">
        <v>19</v>
      </c>
      <c r="F155" t="s">
        <v>27</v>
      </c>
      <c r="G155">
        <v>21754</v>
      </c>
      <c r="H155">
        <v>0</v>
      </c>
      <c r="I155">
        <v>559</v>
      </c>
      <c r="J155">
        <v>360</v>
      </c>
      <c r="K155">
        <v>1</v>
      </c>
      <c r="L155" t="s">
        <v>29</v>
      </c>
      <c r="M155" t="s">
        <v>21</v>
      </c>
      <c r="N155">
        <v>21754</v>
      </c>
      <c r="O155" t="s">
        <v>25</v>
      </c>
      <c r="P155" t="s">
        <v>23</v>
      </c>
    </row>
    <row r="156" spans="1:16" x14ac:dyDescent="0.3">
      <c r="A156" t="s">
        <v>186</v>
      </c>
      <c r="B156" t="s">
        <v>31</v>
      </c>
      <c r="C156" t="s">
        <v>18</v>
      </c>
      <c r="D156" t="s">
        <v>1035</v>
      </c>
      <c r="E156" t="s">
        <v>28</v>
      </c>
      <c r="F156" t="s">
        <v>27</v>
      </c>
      <c r="G156">
        <v>3891</v>
      </c>
      <c r="H156">
        <v>0</v>
      </c>
      <c r="I156">
        <v>211</v>
      </c>
      <c r="J156">
        <v>300</v>
      </c>
      <c r="K156">
        <v>1</v>
      </c>
      <c r="L156" t="s">
        <v>29</v>
      </c>
      <c r="M156" t="s">
        <v>53</v>
      </c>
      <c r="N156">
        <v>3891</v>
      </c>
      <c r="O156" t="s">
        <v>35</v>
      </c>
      <c r="P156" t="s">
        <v>23</v>
      </c>
    </row>
    <row r="157" spans="1:16" x14ac:dyDescent="0.3">
      <c r="A157" t="s">
        <v>187</v>
      </c>
      <c r="B157" t="s">
        <v>17</v>
      </c>
      <c r="C157" t="s">
        <v>27</v>
      </c>
      <c r="D157" t="s">
        <v>1033</v>
      </c>
      <c r="E157" t="s">
        <v>28</v>
      </c>
      <c r="F157" t="s">
        <v>27</v>
      </c>
      <c r="G157">
        <v>12817</v>
      </c>
      <c r="H157">
        <v>0</v>
      </c>
      <c r="I157">
        <v>429</v>
      </c>
      <c r="J157">
        <v>360</v>
      </c>
      <c r="K157">
        <v>1</v>
      </c>
      <c r="L157" t="s">
        <v>29</v>
      </c>
      <c r="M157" t="s">
        <v>21</v>
      </c>
      <c r="N157">
        <v>12817</v>
      </c>
      <c r="O157" t="s">
        <v>25</v>
      </c>
      <c r="P157" t="s">
        <v>23</v>
      </c>
    </row>
    <row r="158" spans="1:16" x14ac:dyDescent="0.3">
      <c r="A158" t="s">
        <v>188</v>
      </c>
      <c r="B158" t="s">
        <v>17</v>
      </c>
      <c r="C158" t="s">
        <v>27</v>
      </c>
      <c r="D158" t="s">
        <v>1034</v>
      </c>
      <c r="E158" t="s">
        <v>28</v>
      </c>
      <c r="F158" t="s">
        <v>27</v>
      </c>
      <c r="G158">
        <v>9623</v>
      </c>
      <c r="H158">
        <v>0</v>
      </c>
      <c r="I158">
        <v>101</v>
      </c>
      <c r="J158">
        <v>240</v>
      </c>
      <c r="K158">
        <v>0</v>
      </c>
      <c r="L158" t="s">
        <v>34</v>
      </c>
      <c r="M158" t="s">
        <v>21</v>
      </c>
      <c r="N158">
        <v>9623</v>
      </c>
      <c r="O158" t="s">
        <v>22</v>
      </c>
      <c r="P158" t="s">
        <v>32</v>
      </c>
    </row>
    <row r="159" spans="1:16" x14ac:dyDescent="0.3">
      <c r="A159" t="s">
        <v>189</v>
      </c>
      <c r="B159" t="s">
        <v>31</v>
      </c>
      <c r="C159" t="s">
        <v>18</v>
      </c>
      <c r="D159" t="s">
        <v>1033</v>
      </c>
      <c r="E159" t="s">
        <v>28</v>
      </c>
      <c r="F159" t="s">
        <v>27</v>
      </c>
      <c r="G159">
        <v>7720</v>
      </c>
      <c r="H159">
        <v>0</v>
      </c>
      <c r="I159">
        <v>560</v>
      </c>
      <c r="J159">
        <v>360</v>
      </c>
      <c r="K159">
        <v>1</v>
      </c>
      <c r="L159" t="s">
        <v>29</v>
      </c>
      <c r="M159" t="s">
        <v>21</v>
      </c>
      <c r="N159">
        <v>7720</v>
      </c>
      <c r="O159" t="s">
        <v>22</v>
      </c>
      <c r="P159" t="s">
        <v>23</v>
      </c>
    </row>
    <row r="160" spans="1:16" x14ac:dyDescent="0.3">
      <c r="A160" t="s">
        <v>190</v>
      </c>
      <c r="B160" t="s">
        <v>31</v>
      </c>
      <c r="C160" t="s">
        <v>18</v>
      </c>
      <c r="D160" t="s">
        <v>1034</v>
      </c>
      <c r="E160" t="s">
        <v>28</v>
      </c>
      <c r="F160" t="s">
        <v>27</v>
      </c>
      <c r="G160">
        <v>9388</v>
      </c>
      <c r="H160">
        <v>4024</v>
      </c>
      <c r="I160">
        <v>99</v>
      </c>
      <c r="J160">
        <v>120</v>
      </c>
      <c r="K160">
        <v>1</v>
      </c>
      <c r="L160" t="s">
        <v>34</v>
      </c>
      <c r="M160" t="s">
        <v>21</v>
      </c>
      <c r="N160">
        <v>13412</v>
      </c>
      <c r="O160" t="s">
        <v>25</v>
      </c>
      <c r="P160" t="s">
        <v>23</v>
      </c>
    </row>
    <row r="161" spans="1:16" x14ac:dyDescent="0.3">
      <c r="A161" t="s">
        <v>191</v>
      </c>
      <c r="B161" t="s">
        <v>31</v>
      </c>
      <c r="C161" t="s">
        <v>27</v>
      </c>
      <c r="D161" t="s">
        <v>1034</v>
      </c>
      <c r="E161" t="s">
        <v>19</v>
      </c>
      <c r="F161" t="s">
        <v>27</v>
      </c>
      <c r="G161">
        <v>5888</v>
      </c>
      <c r="H161">
        <v>14958</v>
      </c>
      <c r="I161">
        <v>424</v>
      </c>
      <c r="J161">
        <v>300</v>
      </c>
      <c r="K161">
        <v>1</v>
      </c>
      <c r="L161" t="s">
        <v>29</v>
      </c>
      <c r="M161" t="s">
        <v>21</v>
      </c>
      <c r="N161">
        <v>20846</v>
      </c>
      <c r="O161" t="s">
        <v>25</v>
      </c>
      <c r="P161" t="s">
        <v>23</v>
      </c>
    </row>
    <row r="162" spans="1:16" x14ac:dyDescent="0.3">
      <c r="A162" t="s">
        <v>192</v>
      </c>
      <c r="B162" t="s">
        <v>17</v>
      </c>
      <c r="C162" t="s">
        <v>18</v>
      </c>
      <c r="D162" t="s">
        <v>1032</v>
      </c>
      <c r="E162" t="s">
        <v>28</v>
      </c>
      <c r="F162" t="s">
        <v>18</v>
      </c>
      <c r="G162">
        <v>14159</v>
      </c>
      <c r="H162">
        <v>8761</v>
      </c>
      <c r="I162">
        <v>613</v>
      </c>
      <c r="J162">
        <v>240</v>
      </c>
      <c r="K162">
        <v>0</v>
      </c>
      <c r="L162" t="s">
        <v>34</v>
      </c>
      <c r="M162" t="s">
        <v>21</v>
      </c>
      <c r="N162">
        <v>22920</v>
      </c>
      <c r="O162" t="s">
        <v>25</v>
      </c>
      <c r="P162" t="s">
        <v>32</v>
      </c>
    </row>
    <row r="163" spans="1:16" x14ac:dyDescent="0.3">
      <c r="A163" t="s">
        <v>193</v>
      </c>
      <c r="B163" t="s">
        <v>17</v>
      </c>
      <c r="C163" t="s">
        <v>18</v>
      </c>
      <c r="D163" t="s">
        <v>1034</v>
      </c>
      <c r="E163" t="s">
        <v>28</v>
      </c>
      <c r="F163" t="s">
        <v>27</v>
      </c>
      <c r="G163">
        <v>12611</v>
      </c>
      <c r="H163">
        <v>9639</v>
      </c>
      <c r="I163">
        <v>197</v>
      </c>
      <c r="J163">
        <v>180</v>
      </c>
      <c r="K163">
        <v>1</v>
      </c>
      <c r="L163" t="s">
        <v>29</v>
      </c>
      <c r="M163" t="s">
        <v>21</v>
      </c>
      <c r="N163">
        <v>22250</v>
      </c>
      <c r="O163" t="s">
        <v>25</v>
      </c>
      <c r="P163" t="s">
        <v>23</v>
      </c>
    </row>
    <row r="164" spans="1:16" x14ac:dyDescent="0.3">
      <c r="A164" t="s">
        <v>194</v>
      </c>
      <c r="B164" t="s">
        <v>17</v>
      </c>
      <c r="C164" t="s">
        <v>18</v>
      </c>
      <c r="D164" t="s">
        <v>1034</v>
      </c>
      <c r="E164" t="s">
        <v>19</v>
      </c>
      <c r="F164" t="s">
        <v>27</v>
      </c>
      <c r="G164">
        <v>17023</v>
      </c>
      <c r="H164">
        <v>9008</v>
      </c>
      <c r="I164">
        <v>202</v>
      </c>
      <c r="J164">
        <v>360</v>
      </c>
      <c r="K164">
        <v>0</v>
      </c>
      <c r="L164" t="s">
        <v>20</v>
      </c>
      <c r="M164" t="s">
        <v>21</v>
      </c>
      <c r="N164">
        <v>26031</v>
      </c>
      <c r="O164" t="s">
        <v>25</v>
      </c>
      <c r="P164" t="s">
        <v>32</v>
      </c>
    </row>
    <row r="165" spans="1:16" x14ac:dyDescent="0.3">
      <c r="A165" t="s">
        <v>195</v>
      </c>
      <c r="B165" t="s">
        <v>31</v>
      </c>
      <c r="C165" t="s">
        <v>27</v>
      </c>
      <c r="D165" t="s">
        <v>1033</v>
      </c>
      <c r="E165" t="s">
        <v>28</v>
      </c>
      <c r="F165" t="s">
        <v>27</v>
      </c>
      <c r="G165">
        <v>20955</v>
      </c>
      <c r="H165">
        <v>6011</v>
      </c>
      <c r="I165">
        <v>626</v>
      </c>
      <c r="J165">
        <v>240</v>
      </c>
      <c r="K165">
        <v>1</v>
      </c>
      <c r="L165" t="s">
        <v>20</v>
      </c>
      <c r="M165" t="s">
        <v>21</v>
      </c>
      <c r="N165">
        <v>26966</v>
      </c>
      <c r="O165" t="s">
        <v>25</v>
      </c>
      <c r="P165" t="s">
        <v>23</v>
      </c>
    </row>
    <row r="166" spans="1:16" x14ac:dyDescent="0.3">
      <c r="A166" t="s">
        <v>196</v>
      </c>
      <c r="B166" t="s">
        <v>31</v>
      </c>
      <c r="C166" t="s">
        <v>27</v>
      </c>
      <c r="D166" t="s">
        <v>1034</v>
      </c>
      <c r="E166" t="s">
        <v>28</v>
      </c>
      <c r="F166" t="s">
        <v>27</v>
      </c>
      <c r="G166">
        <v>24045</v>
      </c>
      <c r="H166">
        <v>0</v>
      </c>
      <c r="I166">
        <v>661</v>
      </c>
      <c r="J166">
        <v>300</v>
      </c>
      <c r="K166">
        <v>1</v>
      </c>
      <c r="L166" t="s">
        <v>34</v>
      </c>
      <c r="M166" t="s">
        <v>21</v>
      </c>
      <c r="N166">
        <v>24045</v>
      </c>
      <c r="O166" t="s">
        <v>25</v>
      </c>
      <c r="P166" t="s">
        <v>23</v>
      </c>
    </row>
    <row r="167" spans="1:16" x14ac:dyDescent="0.3">
      <c r="A167" t="s">
        <v>197</v>
      </c>
      <c r="B167" t="s">
        <v>17</v>
      </c>
      <c r="C167" t="s">
        <v>18</v>
      </c>
      <c r="D167" t="s">
        <v>1035</v>
      </c>
      <c r="E167" t="s">
        <v>19</v>
      </c>
      <c r="F167" t="s">
        <v>27</v>
      </c>
      <c r="G167">
        <v>6342</v>
      </c>
      <c r="H167">
        <v>0</v>
      </c>
      <c r="I167">
        <v>82</v>
      </c>
      <c r="J167">
        <v>360</v>
      </c>
      <c r="K167">
        <v>0</v>
      </c>
      <c r="L167" t="s">
        <v>20</v>
      </c>
      <c r="M167" t="s">
        <v>53</v>
      </c>
      <c r="N167">
        <v>6342</v>
      </c>
      <c r="O167" t="s">
        <v>22</v>
      </c>
      <c r="P167" t="s">
        <v>32</v>
      </c>
    </row>
    <row r="168" spans="1:16" x14ac:dyDescent="0.3">
      <c r="A168" t="s">
        <v>198</v>
      </c>
      <c r="B168" t="s">
        <v>17</v>
      </c>
      <c r="C168" t="s">
        <v>18</v>
      </c>
      <c r="D168" t="s">
        <v>1035</v>
      </c>
      <c r="E168" t="s">
        <v>28</v>
      </c>
      <c r="F168" t="s">
        <v>27</v>
      </c>
      <c r="G168">
        <v>6462</v>
      </c>
      <c r="H168">
        <v>0</v>
      </c>
      <c r="I168">
        <v>470</v>
      </c>
      <c r="J168">
        <v>360</v>
      </c>
      <c r="K168">
        <v>1</v>
      </c>
      <c r="L168" t="s">
        <v>29</v>
      </c>
      <c r="M168" t="s">
        <v>21</v>
      </c>
      <c r="N168">
        <v>6462</v>
      </c>
      <c r="O168" t="s">
        <v>22</v>
      </c>
      <c r="P168" t="s">
        <v>23</v>
      </c>
    </row>
    <row r="169" spans="1:16" x14ac:dyDescent="0.3">
      <c r="A169" t="s">
        <v>199</v>
      </c>
      <c r="B169" t="s">
        <v>17</v>
      </c>
      <c r="C169" t="s">
        <v>18</v>
      </c>
      <c r="D169" t="s">
        <v>1033</v>
      </c>
      <c r="E169" t="s">
        <v>28</v>
      </c>
      <c r="F169" t="s">
        <v>27</v>
      </c>
      <c r="G169">
        <v>18718</v>
      </c>
      <c r="H169">
        <v>6673</v>
      </c>
      <c r="I169">
        <v>227</v>
      </c>
      <c r="J169">
        <v>300</v>
      </c>
      <c r="K169">
        <v>0</v>
      </c>
      <c r="L169" t="s">
        <v>29</v>
      </c>
      <c r="M169" t="s">
        <v>21</v>
      </c>
      <c r="N169">
        <v>25391</v>
      </c>
      <c r="O169" t="s">
        <v>25</v>
      </c>
      <c r="P169" t="s">
        <v>32</v>
      </c>
    </row>
    <row r="170" spans="1:16" x14ac:dyDescent="0.3">
      <c r="A170" t="s">
        <v>200</v>
      </c>
      <c r="B170" t="s">
        <v>31</v>
      </c>
      <c r="C170" t="s">
        <v>27</v>
      </c>
      <c r="D170" t="s">
        <v>1035</v>
      </c>
      <c r="E170" t="s">
        <v>19</v>
      </c>
      <c r="F170" t="s">
        <v>18</v>
      </c>
      <c r="G170">
        <v>10642</v>
      </c>
      <c r="H170">
        <v>9643</v>
      </c>
      <c r="I170">
        <v>280</v>
      </c>
      <c r="J170">
        <v>240</v>
      </c>
      <c r="K170">
        <v>1</v>
      </c>
      <c r="L170" t="s">
        <v>34</v>
      </c>
      <c r="M170" t="s">
        <v>21</v>
      </c>
      <c r="N170">
        <v>20285</v>
      </c>
      <c r="O170" t="s">
        <v>25</v>
      </c>
      <c r="P170" t="s">
        <v>23</v>
      </c>
    </row>
    <row r="171" spans="1:16" x14ac:dyDescent="0.3">
      <c r="A171" t="s">
        <v>201</v>
      </c>
      <c r="B171" t="s">
        <v>17</v>
      </c>
      <c r="C171" t="s">
        <v>27</v>
      </c>
      <c r="D171" t="s">
        <v>1032</v>
      </c>
      <c r="E171" t="s">
        <v>28</v>
      </c>
      <c r="F171" t="s">
        <v>27</v>
      </c>
      <c r="G171">
        <v>19866</v>
      </c>
      <c r="H171">
        <v>13531</v>
      </c>
      <c r="I171">
        <v>344</v>
      </c>
      <c r="J171">
        <v>120</v>
      </c>
      <c r="K171">
        <v>1</v>
      </c>
      <c r="L171" t="s">
        <v>34</v>
      </c>
      <c r="M171" t="s">
        <v>21</v>
      </c>
      <c r="N171">
        <v>33397</v>
      </c>
      <c r="O171" t="s">
        <v>25</v>
      </c>
      <c r="P171" t="s">
        <v>23</v>
      </c>
    </row>
    <row r="172" spans="1:16" x14ac:dyDescent="0.3">
      <c r="A172" t="s">
        <v>202</v>
      </c>
      <c r="B172" t="s">
        <v>31</v>
      </c>
      <c r="C172" t="s">
        <v>27</v>
      </c>
      <c r="D172" t="s">
        <v>1032</v>
      </c>
      <c r="E172" t="s">
        <v>19</v>
      </c>
      <c r="F172" t="s">
        <v>27</v>
      </c>
      <c r="G172">
        <v>2878</v>
      </c>
      <c r="H172">
        <v>0</v>
      </c>
      <c r="I172">
        <v>404</v>
      </c>
      <c r="J172">
        <v>300</v>
      </c>
      <c r="K172">
        <v>1</v>
      </c>
      <c r="L172" t="s">
        <v>34</v>
      </c>
      <c r="M172" t="s">
        <v>53</v>
      </c>
      <c r="N172">
        <v>2878</v>
      </c>
      <c r="O172" t="s">
        <v>35</v>
      </c>
      <c r="P172" t="s">
        <v>23</v>
      </c>
    </row>
    <row r="173" spans="1:16" x14ac:dyDescent="0.3">
      <c r="A173" t="s">
        <v>203</v>
      </c>
      <c r="B173" t="s">
        <v>31</v>
      </c>
      <c r="C173" t="s">
        <v>18</v>
      </c>
      <c r="D173" t="s">
        <v>1033</v>
      </c>
      <c r="E173" t="s">
        <v>28</v>
      </c>
      <c r="F173" t="s">
        <v>27</v>
      </c>
      <c r="G173">
        <v>5998</v>
      </c>
      <c r="H173">
        <v>0</v>
      </c>
      <c r="I173">
        <v>298</v>
      </c>
      <c r="J173">
        <v>120</v>
      </c>
      <c r="K173">
        <v>1</v>
      </c>
      <c r="L173" t="s">
        <v>34</v>
      </c>
      <c r="M173" t="s">
        <v>21</v>
      </c>
      <c r="N173">
        <v>5998</v>
      </c>
      <c r="O173" t="s">
        <v>22</v>
      </c>
      <c r="P173" t="s">
        <v>23</v>
      </c>
    </row>
    <row r="174" spans="1:16" x14ac:dyDescent="0.3">
      <c r="A174" t="s">
        <v>204</v>
      </c>
      <c r="B174" t="s">
        <v>17</v>
      </c>
      <c r="C174" t="s">
        <v>18</v>
      </c>
      <c r="D174" t="s">
        <v>1034</v>
      </c>
      <c r="E174" t="s">
        <v>19</v>
      </c>
      <c r="F174" t="s">
        <v>27</v>
      </c>
      <c r="G174">
        <v>12323</v>
      </c>
      <c r="H174">
        <v>12253</v>
      </c>
      <c r="I174">
        <v>152</v>
      </c>
      <c r="J174">
        <v>180</v>
      </c>
      <c r="K174">
        <v>1</v>
      </c>
      <c r="L174" t="s">
        <v>34</v>
      </c>
      <c r="M174" t="s">
        <v>21</v>
      </c>
      <c r="N174">
        <v>24576</v>
      </c>
      <c r="O174" t="s">
        <v>25</v>
      </c>
      <c r="P174" t="s">
        <v>23</v>
      </c>
    </row>
    <row r="175" spans="1:16" x14ac:dyDescent="0.3">
      <c r="A175" t="s">
        <v>205</v>
      </c>
      <c r="B175" t="s">
        <v>17</v>
      </c>
      <c r="C175" t="s">
        <v>27</v>
      </c>
      <c r="D175" t="s">
        <v>1035</v>
      </c>
      <c r="E175" t="s">
        <v>28</v>
      </c>
      <c r="F175" t="s">
        <v>18</v>
      </c>
      <c r="G175">
        <v>10912</v>
      </c>
      <c r="H175">
        <v>5762</v>
      </c>
      <c r="I175">
        <v>110</v>
      </c>
      <c r="J175">
        <v>120</v>
      </c>
      <c r="K175">
        <v>1</v>
      </c>
      <c r="L175" t="s">
        <v>20</v>
      </c>
      <c r="M175" t="s">
        <v>21</v>
      </c>
      <c r="N175">
        <v>16674</v>
      </c>
      <c r="O175" t="s">
        <v>25</v>
      </c>
      <c r="P175" t="s">
        <v>23</v>
      </c>
    </row>
    <row r="176" spans="1:16" x14ac:dyDescent="0.3">
      <c r="A176" t="s">
        <v>206</v>
      </c>
      <c r="B176" t="s">
        <v>17</v>
      </c>
      <c r="C176" t="s">
        <v>18</v>
      </c>
      <c r="D176" t="s">
        <v>1035</v>
      </c>
      <c r="E176" t="s">
        <v>19</v>
      </c>
      <c r="F176" t="s">
        <v>18</v>
      </c>
      <c r="G176">
        <v>14508</v>
      </c>
      <c r="H176">
        <v>13409</v>
      </c>
      <c r="I176">
        <v>240</v>
      </c>
      <c r="J176">
        <v>240</v>
      </c>
      <c r="K176">
        <v>0</v>
      </c>
      <c r="L176" t="s">
        <v>20</v>
      </c>
      <c r="M176" t="s">
        <v>21</v>
      </c>
      <c r="N176">
        <v>27917</v>
      </c>
      <c r="O176" t="s">
        <v>25</v>
      </c>
      <c r="P176" t="s">
        <v>32</v>
      </c>
    </row>
    <row r="177" spans="1:16" x14ac:dyDescent="0.3">
      <c r="A177" t="s">
        <v>207</v>
      </c>
      <c r="B177" t="s">
        <v>31</v>
      </c>
      <c r="C177" t="s">
        <v>18</v>
      </c>
      <c r="D177" t="s">
        <v>1032</v>
      </c>
      <c r="E177" t="s">
        <v>28</v>
      </c>
      <c r="F177" t="s">
        <v>27</v>
      </c>
      <c r="G177">
        <v>22514</v>
      </c>
      <c r="H177">
        <v>9401</v>
      </c>
      <c r="I177">
        <v>187</v>
      </c>
      <c r="J177">
        <v>360</v>
      </c>
      <c r="K177">
        <v>1</v>
      </c>
      <c r="L177" t="s">
        <v>20</v>
      </c>
      <c r="M177" t="s">
        <v>21</v>
      </c>
      <c r="N177">
        <v>31915</v>
      </c>
      <c r="O177" t="s">
        <v>25</v>
      </c>
      <c r="P177" t="s">
        <v>23</v>
      </c>
    </row>
    <row r="178" spans="1:16" x14ac:dyDescent="0.3">
      <c r="A178" t="s">
        <v>208</v>
      </c>
      <c r="B178" t="s">
        <v>17</v>
      </c>
      <c r="C178" t="s">
        <v>27</v>
      </c>
      <c r="D178" t="s">
        <v>1033</v>
      </c>
      <c r="E178" t="s">
        <v>28</v>
      </c>
      <c r="F178" t="s">
        <v>27</v>
      </c>
      <c r="G178">
        <v>7601</v>
      </c>
      <c r="H178">
        <v>730</v>
      </c>
      <c r="I178">
        <v>352</v>
      </c>
      <c r="J178">
        <v>360</v>
      </c>
      <c r="K178">
        <v>1</v>
      </c>
      <c r="L178" t="s">
        <v>20</v>
      </c>
      <c r="M178" t="s">
        <v>21</v>
      </c>
      <c r="N178">
        <v>8331</v>
      </c>
      <c r="O178" t="s">
        <v>22</v>
      </c>
      <c r="P178" t="s">
        <v>23</v>
      </c>
    </row>
    <row r="179" spans="1:16" x14ac:dyDescent="0.3">
      <c r="A179" t="s">
        <v>209</v>
      </c>
      <c r="B179" t="s">
        <v>17</v>
      </c>
      <c r="C179" t="s">
        <v>27</v>
      </c>
      <c r="D179" t="s">
        <v>1035</v>
      </c>
      <c r="E179" t="s">
        <v>28</v>
      </c>
      <c r="F179" t="s">
        <v>18</v>
      </c>
      <c r="G179">
        <v>14634</v>
      </c>
      <c r="H179">
        <v>0</v>
      </c>
      <c r="I179">
        <v>239</v>
      </c>
      <c r="J179">
        <v>180</v>
      </c>
      <c r="K179">
        <v>1</v>
      </c>
      <c r="L179" t="s">
        <v>20</v>
      </c>
      <c r="M179" t="s">
        <v>21</v>
      </c>
      <c r="N179">
        <v>14634</v>
      </c>
      <c r="O179" t="s">
        <v>25</v>
      </c>
      <c r="P179" t="s">
        <v>23</v>
      </c>
    </row>
    <row r="180" spans="1:16" x14ac:dyDescent="0.3">
      <c r="A180" t="s">
        <v>210</v>
      </c>
      <c r="B180" t="s">
        <v>17</v>
      </c>
      <c r="C180" t="s">
        <v>27</v>
      </c>
      <c r="D180" t="s">
        <v>1035</v>
      </c>
      <c r="E180" t="s">
        <v>19</v>
      </c>
      <c r="F180" t="s">
        <v>27</v>
      </c>
      <c r="G180">
        <v>10248</v>
      </c>
      <c r="H180">
        <v>5900</v>
      </c>
      <c r="I180">
        <v>646</v>
      </c>
      <c r="J180">
        <v>360</v>
      </c>
      <c r="K180">
        <v>1</v>
      </c>
      <c r="L180" t="s">
        <v>34</v>
      </c>
      <c r="M180" t="s">
        <v>21</v>
      </c>
      <c r="N180">
        <v>16148</v>
      </c>
      <c r="O180" t="s">
        <v>25</v>
      </c>
      <c r="P180" t="s">
        <v>23</v>
      </c>
    </row>
    <row r="181" spans="1:16" x14ac:dyDescent="0.3">
      <c r="A181" t="s">
        <v>211</v>
      </c>
      <c r="B181" t="s">
        <v>31</v>
      </c>
      <c r="C181" t="s">
        <v>18</v>
      </c>
      <c r="D181" t="s">
        <v>1034</v>
      </c>
      <c r="E181" t="s">
        <v>19</v>
      </c>
      <c r="F181" t="s">
        <v>27</v>
      </c>
      <c r="G181">
        <v>11553</v>
      </c>
      <c r="H181">
        <v>3116</v>
      </c>
      <c r="I181">
        <v>564</v>
      </c>
      <c r="J181">
        <v>240</v>
      </c>
      <c r="K181">
        <v>1</v>
      </c>
      <c r="L181" t="s">
        <v>34</v>
      </c>
      <c r="M181" t="s">
        <v>21</v>
      </c>
      <c r="N181">
        <v>14669</v>
      </c>
      <c r="O181" t="s">
        <v>25</v>
      </c>
      <c r="P181" t="s">
        <v>23</v>
      </c>
    </row>
    <row r="182" spans="1:16" x14ac:dyDescent="0.3">
      <c r="A182" t="s">
        <v>212</v>
      </c>
      <c r="B182" t="s">
        <v>31</v>
      </c>
      <c r="C182" t="s">
        <v>27</v>
      </c>
      <c r="D182" t="s">
        <v>1033</v>
      </c>
      <c r="E182" t="s">
        <v>19</v>
      </c>
      <c r="F182" t="s">
        <v>18</v>
      </c>
      <c r="G182">
        <v>17169</v>
      </c>
      <c r="H182">
        <v>3009</v>
      </c>
      <c r="I182">
        <v>670</v>
      </c>
      <c r="J182">
        <v>240</v>
      </c>
      <c r="K182">
        <v>1</v>
      </c>
      <c r="L182" t="s">
        <v>34</v>
      </c>
      <c r="M182" t="s">
        <v>21</v>
      </c>
      <c r="N182">
        <v>20178</v>
      </c>
      <c r="O182" t="s">
        <v>25</v>
      </c>
      <c r="P182" t="s">
        <v>23</v>
      </c>
    </row>
    <row r="183" spans="1:16" x14ac:dyDescent="0.3">
      <c r="A183" t="s">
        <v>213</v>
      </c>
      <c r="B183" t="s">
        <v>31</v>
      </c>
      <c r="C183" t="s">
        <v>18</v>
      </c>
      <c r="D183" t="s">
        <v>1033</v>
      </c>
      <c r="E183" t="s">
        <v>19</v>
      </c>
      <c r="F183" t="s">
        <v>27</v>
      </c>
      <c r="G183">
        <v>18807</v>
      </c>
      <c r="H183">
        <v>12030</v>
      </c>
      <c r="I183">
        <v>129</v>
      </c>
      <c r="J183">
        <v>360</v>
      </c>
      <c r="K183">
        <v>1</v>
      </c>
      <c r="L183" t="s">
        <v>34</v>
      </c>
      <c r="M183" t="s">
        <v>21</v>
      </c>
      <c r="N183">
        <v>30837</v>
      </c>
      <c r="O183" t="s">
        <v>25</v>
      </c>
      <c r="P183" t="s">
        <v>23</v>
      </c>
    </row>
    <row r="184" spans="1:16" x14ac:dyDescent="0.3">
      <c r="A184" t="s">
        <v>214</v>
      </c>
      <c r="B184" t="s">
        <v>17</v>
      </c>
      <c r="C184" t="s">
        <v>18</v>
      </c>
      <c r="D184" t="s">
        <v>1033</v>
      </c>
      <c r="E184" t="s">
        <v>28</v>
      </c>
      <c r="F184" t="s">
        <v>27</v>
      </c>
      <c r="G184">
        <v>5308</v>
      </c>
      <c r="H184">
        <v>0</v>
      </c>
      <c r="I184">
        <v>647</v>
      </c>
      <c r="J184">
        <v>300</v>
      </c>
      <c r="K184">
        <v>1</v>
      </c>
      <c r="L184" t="s">
        <v>34</v>
      </c>
      <c r="M184" t="s">
        <v>21</v>
      </c>
      <c r="N184">
        <v>5308</v>
      </c>
      <c r="O184" t="s">
        <v>22</v>
      </c>
      <c r="P184" t="s">
        <v>23</v>
      </c>
    </row>
    <row r="185" spans="1:16" x14ac:dyDescent="0.3">
      <c r="A185" t="s">
        <v>215</v>
      </c>
      <c r="B185" t="s">
        <v>31</v>
      </c>
      <c r="C185" t="s">
        <v>18</v>
      </c>
      <c r="D185" t="s">
        <v>1035</v>
      </c>
      <c r="E185" t="s">
        <v>19</v>
      </c>
      <c r="F185" t="s">
        <v>27</v>
      </c>
      <c r="G185">
        <v>16468</v>
      </c>
      <c r="H185">
        <v>0</v>
      </c>
      <c r="I185">
        <v>622</v>
      </c>
      <c r="J185">
        <v>300</v>
      </c>
      <c r="K185">
        <v>1</v>
      </c>
      <c r="L185" t="s">
        <v>29</v>
      </c>
      <c r="M185" t="s">
        <v>21</v>
      </c>
      <c r="N185">
        <v>16468</v>
      </c>
      <c r="O185" t="s">
        <v>25</v>
      </c>
      <c r="P185" t="s">
        <v>23</v>
      </c>
    </row>
    <row r="186" spans="1:16" x14ac:dyDescent="0.3">
      <c r="A186" t="s">
        <v>216</v>
      </c>
      <c r="B186" t="s">
        <v>17</v>
      </c>
      <c r="C186" t="s">
        <v>27</v>
      </c>
      <c r="D186" t="s">
        <v>1032</v>
      </c>
      <c r="E186" t="s">
        <v>19</v>
      </c>
      <c r="F186" t="s">
        <v>18</v>
      </c>
      <c r="G186">
        <v>20450</v>
      </c>
      <c r="H186">
        <v>0</v>
      </c>
      <c r="I186">
        <v>483</v>
      </c>
      <c r="J186">
        <v>240</v>
      </c>
      <c r="K186">
        <v>1</v>
      </c>
      <c r="L186" t="s">
        <v>34</v>
      </c>
      <c r="M186" t="s">
        <v>21</v>
      </c>
      <c r="N186">
        <v>20450</v>
      </c>
      <c r="O186" t="s">
        <v>25</v>
      </c>
      <c r="P186" t="s">
        <v>23</v>
      </c>
    </row>
    <row r="187" spans="1:16" x14ac:dyDescent="0.3">
      <c r="A187" t="s">
        <v>217</v>
      </c>
      <c r="B187" t="s">
        <v>17</v>
      </c>
      <c r="C187" t="s">
        <v>18</v>
      </c>
      <c r="D187" t="s">
        <v>1035</v>
      </c>
      <c r="E187" t="s">
        <v>19</v>
      </c>
      <c r="F187" t="s">
        <v>27</v>
      </c>
      <c r="G187">
        <v>14897</v>
      </c>
      <c r="H187">
        <v>0</v>
      </c>
      <c r="I187">
        <v>480</v>
      </c>
      <c r="J187">
        <v>240</v>
      </c>
      <c r="K187">
        <v>0</v>
      </c>
      <c r="L187" t="s">
        <v>29</v>
      </c>
      <c r="M187" t="s">
        <v>21</v>
      </c>
      <c r="N187">
        <v>14897</v>
      </c>
      <c r="O187" t="s">
        <v>25</v>
      </c>
      <c r="P187" t="s">
        <v>32</v>
      </c>
    </row>
    <row r="188" spans="1:16" x14ac:dyDescent="0.3">
      <c r="A188" t="s">
        <v>218</v>
      </c>
      <c r="B188" t="s">
        <v>31</v>
      </c>
      <c r="C188" t="s">
        <v>27</v>
      </c>
      <c r="D188" t="s">
        <v>1035</v>
      </c>
      <c r="E188" t="s">
        <v>19</v>
      </c>
      <c r="F188" t="s">
        <v>18</v>
      </c>
      <c r="G188">
        <v>22915</v>
      </c>
      <c r="H188">
        <v>14594</v>
      </c>
      <c r="I188">
        <v>171</v>
      </c>
      <c r="J188">
        <v>180</v>
      </c>
      <c r="K188">
        <v>0</v>
      </c>
      <c r="L188" t="s">
        <v>29</v>
      </c>
      <c r="M188" t="s">
        <v>21</v>
      </c>
      <c r="N188">
        <v>37509</v>
      </c>
      <c r="O188" t="s">
        <v>25</v>
      </c>
      <c r="P188" t="s">
        <v>32</v>
      </c>
    </row>
    <row r="189" spans="1:16" x14ac:dyDescent="0.3">
      <c r="A189" t="s">
        <v>219</v>
      </c>
      <c r="B189" t="s">
        <v>17</v>
      </c>
      <c r="C189" t="s">
        <v>18</v>
      </c>
      <c r="D189" t="s">
        <v>1034</v>
      </c>
      <c r="E189" t="s">
        <v>19</v>
      </c>
      <c r="F189" t="s">
        <v>27</v>
      </c>
      <c r="G189">
        <v>16671</v>
      </c>
      <c r="H189">
        <v>11534</v>
      </c>
      <c r="I189">
        <v>594</v>
      </c>
      <c r="J189">
        <v>300</v>
      </c>
      <c r="K189">
        <v>0</v>
      </c>
      <c r="L189" t="s">
        <v>20</v>
      </c>
      <c r="M189" t="s">
        <v>21</v>
      </c>
      <c r="N189">
        <v>28205</v>
      </c>
      <c r="O189" t="s">
        <v>25</v>
      </c>
      <c r="P189" t="s">
        <v>32</v>
      </c>
    </row>
    <row r="190" spans="1:16" x14ac:dyDescent="0.3">
      <c r="A190" t="s">
        <v>220</v>
      </c>
      <c r="B190" t="s">
        <v>31</v>
      </c>
      <c r="C190" t="s">
        <v>27</v>
      </c>
      <c r="D190" t="s">
        <v>1033</v>
      </c>
      <c r="E190" t="s">
        <v>28</v>
      </c>
      <c r="F190" t="s">
        <v>18</v>
      </c>
      <c r="G190">
        <v>5197</v>
      </c>
      <c r="H190">
        <v>1027</v>
      </c>
      <c r="I190">
        <v>679</v>
      </c>
      <c r="J190">
        <v>120</v>
      </c>
      <c r="K190">
        <v>1</v>
      </c>
      <c r="L190" t="s">
        <v>20</v>
      </c>
      <c r="M190" t="s">
        <v>21</v>
      </c>
      <c r="N190">
        <v>6224</v>
      </c>
      <c r="O190" t="s">
        <v>22</v>
      </c>
      <c r="P190" t="s">
        <v>23</v>
      </c>
    </row>
    <row r="191" spans="1:16" x14ac:dyDescent="0.3">
      <c r="A191" t="s">
        <v>221</v>
      </c>
      <c r="B191" t="s">
        <v>17</v>
      </c>
      <c r="C191" t="s">
        <v>18</v>
      </c>
      <c r="D191" t="s">
        <v>1035</v>
      </c>
      <c r="E191" t="s">
        <v>19</v>
      </c>
      <c r="F191" t="s">
        <v>18</v>
      </c>
      <c r="G191">
        <v>2949</v>
      </c>
      <c r="H191">
        <v>7090</v>
      </c>
      <c r="I191">
        <v>289</v>
      </c>
      <c r="J191">
        <v>360</v>
      </c>
      <c r="K191">
        <v>1</v>
      </c>
      <c r="L191" t="s">
        <v>20</v>
      </c>
      <c r="M191" t="s">
        <v>21</v>
      </c>
      <c r="N191">
        <v>10039</v>
      </c>
      <c r="O191" t="s">
        <v>25</v>
      </c>
      <c r="P191" t="s">
        <v>23</v>
      </c>
    </row>
    <row r="192" spans="1:16" x14ac:dyDescent="0.3">
      <c r="A192" t="s">
        <v>222</v>
      </c>
      <c r="B192" t="s">
        <v>17</v>
      </c>
      <c r="C192" t="s">
        <v>27</v>
      </c>
      <c r="D192" t="s">
        <v>1033</v>
      </c>
      <c r="E192" t="s">
        <v>28</v>
      </c>
      <c r="F192" t="s">
        <v>27</v>
      </c>
      <c r="G192">
        <v>9262</v>
      </c>
      <c r="H192">
        <v>0</v>
      </c>
      <c r="I192">
        <v>583</v>
      </c>
      <c r="J192">
        <v>180</v>
      </c>
      <c r="K192">
        <v>1</v>
      </c>
      <c r="L192" t="s">
        <v>29</v>
      </c>
      <c r="M192" t="s">
        <v>21</v>
      </c>
      <c r="N192">
        <v>9262</v>
      </c>
      <c r="O192" t="s">
        <v>22</v>
      </c>
      <c r="P192" t="s">
        <v>23</v>
      </c>
    </row>
    <row r="193" spans="1:16" x14ac:dyDescent="0.3">
      <c r="A193" t="s">
        <v>223</v>
      </c>
      <c r="B193" t="s">
        <v>17</v>
      </c>
      <c r="C193" t="s">
        <v>18</v>
      </c>
      <c r="D193" t="s">
        <v>1035</v>
      </c>
      <c r="E193" t="s">
        <v>28</v>
      </c>
      <c r="F193" t="s">
        <v>18</v>
      </c>
      <c r="G193">
        <v>12785</v>
      </c>
      <c r="H193">
        <v>11040</v>
      </c>
      <c r="I193">
        <v>587</v>
      </c>
      <c r="J193">
        <v>240</v>
      </c>
      <c r="K193">
        <v>1</v>
      </c>
      <c r="L193" t="s">
        <v>29</v>
      </c>
      <c r="M193" t="s">
        <v>21</v>
      </c>
      <c r="N193">
        <v>23825</v>
      </c>
      <c r="O193" t="s">
        <v>25</v>
      </c>
      <c r="P193" t="s">
        <v>23</v>
      </c>
    </row>
    <row r="194" spans="1:16" x14ac:dyDescent="0.3">
      <c r="A194" t="s">
        <v>224</v>
      </c>
      <c r="B194" t="s">
        <v>17</v>
      </c>
      <c r="C194" t="s">
        <v>27</v>
      </c>
      <c r="D194" t="s">
        <v>1035</v>
      </c>
      <c r="E194" t="s">
        <v>19</v>
      </c>
      <c r="F194" t="s">
        <v>27</v>
      </c>
      <c r="G194">
        <v>9396</v>
      </c>
      <c r="H194">
        <v>0</v>
      </c>
      <c r="I194">
        <v>357</v>
      </c>
      <c r="J194">
        <v>180</v>
      </c>
      <c r="K194">
        <v>0</v>
      </c>
      <c r="L194" t="s">
        <v>20</v>
      </c>
      <c r="M194" t="s">
        <v>21</v>
      </c>
      <c r="N194">
        <v>9396</v>
      </c>
      <c r="O194" t="s">
        <v>22</v>
      </c>
      <c r="P194" t="s">
        <v>32</v>
      </c>
    </row>
    <row r="195" spans="1:16" x14ac:dyDescent="0.3">
      <c r="A195" t="s">
        <v>225</v>
      </c>
      <c r="B195" t="s">
        <v>31</v>
      </c>
      <c r="C195" t="s">
        <v>27</v>
      </c>
      <c r="D195" t="s">
        <v>1033</v>
      </c>
      <c r="E195" t="s">
        <v>28</v>
      </c>
      <c r="F195" t="s">
        <v>18</v>
      </c>
      <c r="G195">
        <v>9855</v>
      </c>
      <c r="H195">
        <v>3831</v>
      </c>
      <c r="I195">
        <v>130</v>
      </c>
      <c r="J195">
        <v>300</v>
      </c>
      <c r="K195">
        <v>0</v>
      </c>
      <c r="L195" t="s">
        <v>20</v>
      </c>
      <c r="M195" t="s">
        <v>21</v>
      </c>
      <c r="N195">
        <v>13686</v>
      </c>
      <c r="O195" t="s">
        <v>25</v>
      </c>
      <c r="P195" t="s">
        <v>32</v>
      </c>
    </row>
    <row r="196" spans="1:16" x14ac:dyDescent="0.3">
      <c r="A196" t="s">
        <v>226</v>
      </c>
      <c r="B196" t="s">
        <v>17</v>
      </c>
      <c r="C196" t="s">
        <v>18</v>
      </c>
      <c r="D196" t="s">
        <v>1032</v>
      </c>
      <c r="E196" t="s">
        <v>28</v>
      </c>
      <c r="F196" t="s">
        <v>18</v>
      </c>
      <c r="G196">
        <v>3884</v>
      </c>
      <c r="H196">
        <v>0</v>
      </c>
      <c r="I196">
        <v>540</v>
      </c>
      <c r="J196">
        <v>180</v>
      </c>
      <c r="K196">
        <v>0</v>
      </c>
      <c r="L196" t="s">
        <v>29</v>
      </c>
      <c r="M196" t="s">
        <v>53</v>
      </c>
      <c r="N196">
        <v>3884</v>
      </c>
      <c r="O196" t="s">
        <v>35</v>
      </c>
      <c r="P196" t="s">
        <v>32</v>
      </c>
    </row>
    <row r="197" spans="1:16" x14ac:dyDescent="0.3">
      <c r="A197" t="s">
        <v>227</v>
      </c>
      <c r="B197" t="s">
        <v>31</v>
      </c>
      <c r="C197" t="s">
        <v>18</v>
      </c>
      <c r="D197" t="s">
        <v>1033</v>
      </c>
      <c r="E197" t="s">
        <v>19</v>
      </c>
      <c r="F197" t="s">
        <v>18</v>
      </c>
      <c r="G197">
        <v>17193</v>
      </c>
      <c r="H197">
        <v>0</v>
      </c>
      <c r="I197">
        <v>456</v>
      </c>
      <c r="J197">
        <v>180</v>
      </c>
      <c r="K197">
        <v>1</v>
      </c>
      <c r="L197" t="s">
        <v>29</v>
      </c>
      <c r="M197" t="s">
        <v>21</v>
      </c>
      <c r="N197">
        <v>17193</v>
      </c>
      <c r="O197" t="s">
        <v>25</v>
      </c>
      <c r="P197" t="s">
        <v>23</v>
      </c>
    </row>
    <row r="198" spans="1:16" x14ac:dyDescent="0.3">
      <c r="A198" t="s">
        <v>228</v>
      </c>
      <c r="B198" t="s">
        <v>31</v>
      </c>
      <c r="C198" t="s">
        <v>27</v>
      </c>
      <c r="D198" t="s">
        <v>1032</v>
      </c>
      <c r="E198" t="s">
        <v>28</v>
      </c>
      <c r="F198" t="s">
        <v>27</v>
      </c>
      <c r="G198">
        <v>13284</v>
      </c>
      <c r="H198">
        <v>8901</v>
      </c>
      <c r="I198">
        <v>527</v>
      </c>
      <c r="J198">
        <v>120</v>
      </c>
      <c r="K198">
        <v>0</v>
      </c>
      <c r="L198" t="s">
        <v>34</v>
      </c>
      <c r="M198" t="s">
        <v>21</v>
      </c>
      <c r="N198">
        <v>22185</v>
      </c>
      <c r="O198" t="s">
        <v>25</v>
      </c>
      <c r="P198" t="s">
        <v>32</v>
      </c>
    </row>
    <row r="199" spans="1:16" x14ac:dyDescent="0.3">
      <c r="A199" t="s">
        <v>229</v>
      </c>
      <c r="B199" t="s">
        <v>31</v>
      </c>
      <c r="C199" t="s">
        <v>27</v>
      </c>
      <c r="D199" t="s">
        <v>1033</v>
      </c>
      <c r="E199" t="s">
        <v>28</v>
      </c>
      <c r="F199" t="s">
        <v>27</v>
      </c>
      <c r="G199">
        <v>15063</v>
      </c>
      <c r="H199">
        <v>0</v>
      </c>
      <c r="I199">
        <v>199</v>
      </c>
      <c r="J199">
        <v>120</v>
      </c>
      <c r="K199">
        <v>1</v>
      </c>
      <c r="L199" t="s">
        <v>34</v>
      </c>
      <c r="M199" t="s">
        <v>21</v>
      </c>
      <c r="N199">
        <v>15063</v>
      </c>
      <c r="O199" t="s">
        <v>25</v>
      </c>
      <c r="P199" t="s">
        <v>23</v>
      </c>
    </row>
    <row r="200" spans="1:16" x14ac:dyDescent="0.3">
      <c r="A200" t="s">
        <v>230</v>
      </c>
      <c r="B200" t="s">
        <v>31</v>
      </c>
      <c r="C200" t="s">
        <v>27</v>
      </c>
      <c r="D200" t="s">
        <v>1033</v>
      </c>
      <c r="E200" t="s">
        <v>19</v>
      </c>
      <c r="F200" t="s">
        <v>27</v>
      </c>
      <c r="G200">
        <v>9037</v>
      </c>
      <c r="H200">
        <v>0</v>
      </c>
      <c r="I200">
        <v>561</v>
      </c>
      <c r="J200">
        <v>360</v>
      </c>
      <c r="K200">
        <v>1</v>
      </c>
      <c r="L200" t="s">
        <v>34</v>
      </c>
      <c r="M200" t="s">
        <v>21</v>
      </c>
      <c r="N200">
        <v>9037</v>
      </c>
      <c r="O200" t="s">
        <v>22</v>
      </c>
      <c r="P200" t="s">
        <v>23</v>
      </c>
    </row>
    <row r="201" spans="1:16" x14ac:dyDescent="0.3">
      <c r="A201" t="s">
        <v>231</v>
      </c>
      <c r="B201" t="s">
        <v>31</v>
      </c>
      <c r="C201" t="s">
        <v>27</v>
      </c>
      <c r="D201" t="s">
        <v>1035</v>
      </c>
      <c r="E201" t="s">
        <v>28</v>
      </c>
      <c r="F201" t="s">
        <v>27</v>
      </c>
      <c r="G201">
        <v>7012</v>
      </c>
      <c r="H201">
        <v>12505</v>
      </c>
      <c r="I201">
        <v>223</v>
      </c>
      <c r="J201">
        <v>180</v>
      </c>
      <c r="K201">
        <v>1</v>
      </c>
      <c r="L201" t="s">
        <v>29</v>
      </c>
      <c r="M201" t="s">
        <v>21</v>
      </c>
      <c r="N201">
        <v>19517</v>
      </c>
      <c r="O201" t="s">
        <v>25</v>
      </c>
      <c r="P201" t="s">
        <v>23</v>
      </c>
    </row>
    <row r="202" spans="1:16" x14ac:dyDescent="0.3">
      <c r="A202" t="s">
        <v>232</v>
      </c>
      <c r="B202" t="s">
        <v>17</v>
      </c>
      <c r="C202" t="s">
        <v>18</v>
      </c>
      <c r="D202" t="s">
        <v>1034</v>
      </c>
      <c r="E202" t="s">
        <v>19</v>
      </c>
      <c r="F202" t="s">
        <v>18</v>
      </c>
      <c r="G202">
        <v>1709</v>
      </c>
      <c r="H202">
        <v>0</v>
      </c>
      <c r="I202">
        <v>695</v>
      </c>
      <c r="J202">
        <v>180</v>
      </c>
      <c r="K202">
        <v>1</v>
      </c>
      <c r="L202" t="s">
        <v>20</v>
      </c>
      <c r="M202" t="s">
        <v>53</v>
      </c>
      <c r="N202">
        <v>1709</v>
      </c>
      <c r="O202" t="s">
        <v>35</v>
      </c>
      <c r="P202" t="s">
        <v>23</v>
      </c>
    </row>
    <row r="203" spans="1:16" x14ac:dyDescent="0.3">
      <c r="A203" t="s">
        <v>233</v>
      </c>
      <c r="B203" t="s">
        <v>17</v>
      </c>
      <c r="C203" t="s">
        <v>18</v>
      </c>
      <c r="D203" t="s">
        <v>1035</v>
      </c>
      <c r="E203" t="s">
        <v>28</v>
      </c>
      <c r="F203" t="s">
        <v>18</v>
      </c>
      <c r="G203">
        <v>21745</v>
      </c>
      <c r="H203">
        <v>10948</v>
      </c>
      <c r="I203">
        <v>549</v>
      </c>
      <c r="J203">
        <v>120</v>
      </c>
      <c r="K203">
        <v>1</v>
      </c>
      <c r="L203" t="s">
        <v>34</v>
      </c>
      <c r="M203" t="s">
        <v>21</v>
      </c>
      <c r="N203">
        <v>32693</v>
      </c>
      <c r="O203" t="s">
        <v>25</v>
      </c>
      <c r="P203" t="s">
        <v>23</v>
      </c>
    </row>
    <row r="204" spans="1:16" x14ac:dyDescent="0.3">
      <c r="A204" t="s">
        <v>234</v>
      </c>
      <c r="B204" t="s">
        <v>31</v>
      </c>
      <c r="C204" t="s">
        <v>18</v>
      </c>
      <c r="D204" t="s">
        <v>1034</v>
      </c>
      <c r="E204" t="s">
        <v>28</v>
      </c>
      <c r="F204" t="s">
        <v>27</v>
      </c>
      <c r="G204">
        <v>2061</v>
      </c>
      <c r="H204">
        <v>8728</v>
      </c>
      <c r="I204">
        <v>233</v>
      </c>
      <c r="J204">
        <v>120</v>
      </c>
      <c r="K204">
        <v>0</v>
      </c>
      <c r="L204" t="s">
        <v>34</v>
      </c>
      <c r="M204" t="s">
        <v>21</v>
      </c>
      <c r="N204">
        <v>10789</v>
      </c>
      <c r="O204" t="s">
        <v>25</v>
      </c>
      <c r="P204" t="s">
        <v>32</v>
      </c>
    </row>
    <row r="205" spans="1:16" x14ac:dyDescent="0.3">
      <c r="A205" t="s">
        <v>235</v>
      </c>
      <c r="B205" t="s">
        <v>17</v>
      </c>
      <c r="C205" t="s">
        <v>18</v>
      </c>
      <c r="D205" t="s">
        <v>1033</v>
      </c>
      <c r="E205" t="s">
        <v>28</v>
      </c>
      <c r="F205" t="s">
        <v>27</v>
      </c>
      <c r="G205">
        <v>10259</v>
      </c>
      <c r="H205">
        <v>13524</v>
      </c>
      <c r="I205">
        <v>130</v>
      </c>
      <c r="J205">
        <v>240</v>
      </c>
      <c r="K205">
        <v>0</v>
      </c>
      <c r="L205" t="s">
        <v>29</v>
      </c>
      <c r="M205" t="s">
        <v>21</v>
      </c>
      <c r="N205">
        <v>23783</v>
      </c>
      <c r="O205" t="s">
        <v>25</v>
      </c>
      <c r="P205" t="s">
        <v>32</v>
      </c>
    </row>
    <row r="206" spans="1:16" x14ac:dyDescent="0.3">
      <c r="A206" t="s">
        <v>236</v>
      </c>
      <c r="B206" t="s">
        <v>17</v>
      </c>
      <c r="C206" t="s">
        <v>18</v>
      </c>
      <c r="D206" t="s">
        <v>1032</v>
      </c>
      <c r="E206" t="s">
        <v>19</v>
      </c>
      <c r="F206" t="s">
        <v>18</v>
      </c>
      <c r="G206">
        <v>4563</v>
      </c>
      <c r="H206">
        <v>7140</v>
      </c>
      <c r="I206">
        <v>436</v>
      </c>
      <c r="J206">
        <v>360</v>
      </c>
      <c r="K206">
        <v>1</v>
      </c>
      <c r="L206" t="s">
        <v>34</v>
      </c>
      <c r="M206" t="s">
        <v>21</v>
      </c>
      <c r="N206">
        <v>11703</v>
      </c>
      <c r="O206" t="s">
        <v>25</v>
      </c>
      <c r="P206" t="s">
        <v>23</v>
      </c>
    </row>
    <row r="207" spans="1:16" x14ac:dyDescent="0.3">
      <c r="A207" t="s">
        <v>237</v>
      </c>
      <c r="B207" t="s">
        <v>17</v>
      </c>
      <c r="C207" t="s">
        <v>18</v>
      </c>
      <c r="D207" t="s">
        <v>1034</v>
      </c>
      <c r="E207" t="s">
        <v>28</v>
      </c>
      <c r="F207" t="s">
        <v>27</v>
      </c>
      <c r="G207">
        <v>22632</v>
      </c>
      <c r="H207">
        <v>13351</v>
      </c>
      <c r="I207">
        <v>629</v>
      </c>
      <c r="J207">
        <v>120</v>
      </c>
      <c r="K207">
        <v>0</v>
      </c>
      <c r="L207" t="s">
        <v>20</v>
      </c>
      <c r="M207" t="s">
        <v>21</v>
      </c>
      <c r="N207">
        <v>35983</v>
      </c>
      <c r="O207" t="s">
        <v>25</v>
      </c>
      <c r="P207" t="s">
        <v>32</v>
      </c>
    </row>
    <row r="208" spans="1:16" x14ac:dyDescent="0.3">
      <c r="A208" t="s">
        <v>238</v>
      </c>
      <c r="B208" t="s">
        <v>17</v>
      </c>
      <c r="C208" t="s">
        <v>18</v>
      </c>
      <c r="D208" t="s">
        <v>1035</v>
      </c>
      <c r="E208" t="s">
        <v>28</v>
      </c>
      <c r="F208" t="s">
        <v>18</v>
      </c>
      <c r="G208">
        <v>3936</v>
      </c>
      <c r="H208">
        <v>11713</v>
      </c>
      <c r="I208">
        <v>606</v>
      </c>
      <c r="J208">
        <v>360</v>
      </c>
      <c r="K208">
        <v>1</v>
      </c>
      <c r="L208" t="s">
        <v>20</v>
      </c>
      <c r="M208" t="s">
        <v>21</v>
      </c>
      <c r="N208">
        <v>15649</v>
      </c>
      <c r="O208" t="s">
        <v>25</v>
      </c>
      <c r="P208" t="s">
        <v>23</v>
      </c>
    </row>
    <row r="209" spans="1:16" x14ac:dyDescent="0.3">
      <c r="A209" t="s">
        <v>239</v>
      </c>
      <c r="B209" t="s">
        <v>31</v>
      </c>
      <c r="C209" t="s">
        <v>18</v>
      </c>
      <c r="D209" t="s">
        <v>1033</v>
      </c>
      <c r="E209" t="s">
        <v>19</v>
      </c>
      <c r="F209" t="s">
        <v>27</v>
      </c>
      <c r="G209">
        <v>4021</v>
      </c>
      <c r="H209">
        <v>0</v>
      </c>
      <c r="I209">
        <v>627</v>
      </c>
      <c r="J209">
        <v>180</v>
      </c>
      <c r="K209">
        <v>1</v>
      </c>
      <c r="L209" t="s">
        <v>29</v>
      </c>
      <c r="M209" t="s">
        <v>21</v>
      </c>
      <c r="N209">
        <v>4021</v>
      </c>
      <c r="O209" t="s">
        <v>35</v>
      </c>
      <c r="P209" t="s">
        <v>23</v>
      </c>
    </row>
    <row r="210" spans="1:16" x14ac:dyDescent="0.3">
      <c r="A210" t="s">
        <v>240</v>
      </c>
      <c r="B210" t="s">
        <v>31</v>
      </c>
      <c r="C210" t="s">
        <v>27</v>
      </c>
      <c r="D210" t="s">
        <v>1033</v>
      </c>
      <c r="E210" t="s">
        <v>19</v>
      </c>
      <c r="F210" t="s">
        <v>27</v>
      </c>
      <c r="G210">
        <v>3259</v>
      </c>
      <c r="H210">
        <v>2100</v>
      </c>
      <c r="I210">
        <v>287</v>
      </c>
      <c r="J210">
        <v>120</v>
      </c>
      <c r="K210">
        <v>1</v>
      </c>
      <c r="L210" t="s">
        <v>34</v>
      </c>
      <c r="M210" t="s">
        <v>21</v>
      </c>
      <c r="N210">
        <v>5359</v>
      </c>
      <c r="O210" t="s">
        <v>22</v>
      </c>
      <c r="P210" t="s">
        <v>23</v>
      </c>
    </row>
    <row r="211" spans="1:16" x14ac:dyDescent="0.3">
      <c r="A211" t="s">
        <v>241</v>
      </c>
      <c r="B211" t="s">
        <v>31</v>
      </c>
      <c r="C211" t="s">
        <v>27</v>
      </c>
      <c r="D211" t="s">
        <v>1034</v>
      </c>
      <c r="E211" t="s">
        <v>28</v>
      </c>
      <c r="F211" t="s">
        <v>27</v>
      </c>
      <c r="G211">
        <v>17576</v>
      </c>
      <c r="H211">
        <v>4237</v>
      </c>
      <c r="I211">
        <v>616</v>
      </c>
      <c r="J211">
        <v>300</v>
      </c>
      <c r="K211">
        <v>1</v>
      </c>
      <c r="L211" t="s">
        <v>34</v>
      </c>
      <c r="M211" t="s">
        <v>21</v>
      </c>
      <c r="N211">
        <v>21813</v>
      </c>
      <c r="O211" t="s">
        <v>25</v>
      </c>
      <c r="P211" t="s">
        <v>23</v>
      </c>
    </row>
    <row r="212" spans="1:16" x14ac:dyDescent="0.3">
      <c r="A212" t="s">
        <v>242</v>
      </c>
      <c r="B212" t="s">
        <v>31</v>
      </c>
      <c r="C212" t="s">
        <v>18</v>
      </c>
      <c r="D212" t="s">
        <v>1032</v>
      </c>
      <c r="E212" t="s">
        <v>19</v>
      </c>
      <c r="F212" t="s">
        <v>18</v>
      </c>
      <c r="G212">
        <v>4188</v>
      </c>
      <c r="H212">
        <v>0</v>
      </c>
      <c r="I212">
        <v>439</v>
      </c>
      <c r="J212">
        <v>180</v>
      </c>
      <c r="K212">
        <v>1</v>
      </c>
      <c r="L212" t="s">
        <v>29</v>
      </c>
      <c r="M212" t="s">
        <v>21</v>
      </c>
      <c r="N212">
        <v>4188</v>
      </c>
      <c r="O212" t="s">
        <v>35</v>
      </c>
      <c r="P212" t="s">
        <v>23</v>
      </c>
    </row>
    <row r="213" spans="1:16" x14ac:dyDescent="0.3">
      <c r="A213" t="s">
        <v>243</v>
      </c>
      <c r="B213" t="s">
        <v>31</v>
      </c>
      <c r="C213" t="s">
        <v>18</v>
      </c>
      <c r="D213" t="s">
        <v>1034</v>
      </c>
      <c r="E213" t="s">
        <v>19</v>
      </c>
      <c r="F213" t="s">
        <v>27</v>
      </c>
      <c r="G213">
        <v>16073</v>
      </c>
      <c r="H213">
        <v>6396</v>
      </c>
      <c r="I213">
        <v>154</v>
      </c>
      <c r="J213">
        <v>180</v>
      </c>
      <c r="K213">
        <v>1</v>
      </c>
      <c r="L213" t="s">
        <v>29</v>
      </c>
      <c r="M213" t="s">
        <v>21</v>
      </c>
      <c r="N213">
        <v>22469</v>
      </c>
      <c r="O213" t="s">
        <v>25</v>
      </c>
      <c r="P213" t="s">
        <v>23</v>
      </c>
    </row>
    <row r="214" spans="1:16" x14ac:dyDescent="0.3">
      <c r="A214" t="s">
        <v>244</v>
      </c>
      <c r="B214" t="s">
        <v>31</v>
      </c>
      <c r="C214" t="s">
        <v>27</v>
      </c>
      <c r="D214" t="s">
        <v>1034</v>
      </c>
      <c r="E214" t="s">
        <v>19</v>
      </c>
      <c r="F214" t="s">
        <v>18</v>
      </c>
      <c r="G214">
        <v>13097</v>
      </c>
      <c r="H214">
        <v>0</v>
      </c>
      <c r="I214">
        <v>661</v>
      </c>
      <c r="J214">
        <v>360</v>
      </c>
      <c r="K214">
        <v>0</v>
      </c>
      <c r="L214" t="s">
        <v>29</v>
      </c>
      <c r="M214" t="s">
        <v>21</v>
      </c>
      <c r="N214">
        <v>13097</v>
      </c>
      <c r="O214" t="s">
        <v>25</v>
      </c>
      <c r="P214" t="s">
        <v>32</v>
      </c>
    </row>
    <row r="215" spans="1:16" x14ac:dyDescent="0.3">
      <c r="A215" t="s">
        <v>245</v>
      </c>
      <c r="B215" t="s">
        <v>17</v>
      </c>
      <c r="C215" t="s">
        <v>27</v>
      </c>
      <c r="D215" t="s">
        <v>1035</v>
      </c>
      <c r="E215" t="s">
        <v>28</v>
      </c>
      <c r="F215" t="s">
        <v>18</v>
      </c>
      <c r="G215">
        <v>19834</v>
      </c>
      <c r="H215">
        <v>0</v>
      </c>
      <c r="I215">
        <v>439</v>
      </c>
      <c r="J215">
        <v>180</v>
      </c>
      <c r="K215">
        <v>1</v>
      </c>
      <c r="L215" t="s">
        <v>29</v>
      </c>
      <c r="M215" t="s">
        <v>21</v>
      </c>
      <c r="N215">
        <v>19834</v>
      </c>
      <c r="O215" t="s">
        <v>25</v>
      </c>
      <c r="P215" t="s">
        <v>23</v>
      </c>
    </row>
    <row r="216" spans="1:16" x14ac:dyDescent="0.3">
      <c r="A216" t="s">
        <v>246</v>
      </c>
      <c r="B216" t="s">
        <v>31</v>
      </c>
      <c r="C216" t="s">
        <v>27</v>
      </c>
      <c r="D216" t="s">
        <v>1033</v>
      </c>
      <c r="E216" t="s">
        <v>19</v>
      </c>
      <c r="F216" t="s">
        <v>18</v>
      </c>
      <c r="G216">
        <v>15743</v>
      </c>
      <c r="H216">
        <v>5021</v>
      </c>
      <c r="I216">
        <v>356</v>
      </c>
      <c r="J216">
        <v>300</v>
      </c>
      <c r="K216">
        <v>0</v>
      </c>
      <c r="L216" t="s">
        <v>29</v>
      </c>
      <c r="M216" t="s">
        <v>21</v>
      </c>
      <c r="N216">
        <v>20764</v>
      </c>
      <c r="O216" t="s">
        <v>25</v>
      </c>
      <c r="P216" t="s">
        <v>32</v>
      </c>
    </row>
    <row r="217" spans="1:16" x14ac:dyDescent="0.3">
      <c r="A217" t="s">
        <v>247</v>
      </c>
      <c r="B217" t="s">
        <v>31</v>
      </c>
      <c r="C217" t="s">
        <v>18</v>
      </c>
      <c r="D217" t="s">
        <v>1035</v>
      </c>
      <c r="E217" t="s">
        <v>19</v>
      </c>
      <c r="F217" t="s">
        <v>27</v>
      </c>
      <c r="G217">
        <v>5005</v>
      </c>
      <c r="H217">
        <v>2719</v>
      </c>
      <c r="I217">
        <v>56</v>
      </c>
      <c r="J217">
        <v>300</v>
      </c>
      <c r="K217">
        <v>1</v>
      </c>
      <c r="L217" t="s">
        <v>34</v>
      </c>
      <c r="M217" t="s">
        <v>21</v>
      </c>
      <c r="N217">
        <v>7724</v>
      </c>
      <c r="O217" t="s">
        <v>22</v>
      </c>
      <c r="P217" t="s">
        <v>23</v>
      </c>
    </row>
    <row r="218" spans="1:16" x14ac:dyDescent="0.3">
      <c r="A218" t="s">
        <v>248</v>
      </c>
      <c r="B218" t="s">
        <v>31</v>
      </c>
      <c r="C218" t="s">
        <v>27</v>
      </c>
      <c r="D218" t="s">
        <v>1035</v>
      </c>
      <c r="E218" t="s">
        <v>28</v>
      </c>
      <c r="F218" t="s">
        <v>27</v>
      </c>
      <c r="G218">
        <v>22833</v>
      </c>
      <c r="H218">
        <v>0</v>
      </c>
      <c r="I218">
        <v>357</v>
      </c>
      <c r="J218">
        <v>240</v>
      </c>
      <c r="K218">
        <v>1</v>
      </c>
      <c r="L218" t="s">
        <v>34</v>
      </c>
      <c r="M218" t="s">
        <v>21</v>
      </c>
      <c r="N218">
        <v>22833</v>
      </c>
      <c r="O218" t="s">
        <v>25</v>
      </c>
      <c r="P218" t="s">
        <v>23</v>
      </c>
    </row>
    <row r="219" spans="1:16" x14ac:dyDescent="0.3">
      <c r="A219" t="s">
        <v>249</v>
      </c>
      <c r="B219" t="s">
        <v>17</v>
      </c>
      <c r="C219" t="s">
        <v>27</v>
      </c>
      <c r="D219" t="s">
        <v>1032</v>
      </c>
      <c r="E219" t="s">
        <v>19</v>
      </c>
      <c r="F219" t="s">
        <v>27</v>
      </c>
      <c r="G219">
        <v>11957</v>
      </c>
      <c r="H219">
        <v>5275</v>
      </c>
      <c r="I219">
        <v>639</v>
      </c>
      <c r="J219">
        <v>180</v>
      </c>
      <c r="K219">
        <v>1</v>
      </c>
      <c r="L219" t="s">
        <v>29</v>
      </c>
      <c r="M219" t="s">
        <v>21</v>
      </c>
      <c r="N219">
        <v>17232</v>
      </c>
      <c r="O219" t="s">
        <v>25</v>
      </c>
      <c r="P219" t="s">
        <v>23</v>
      </c>
    </row>
    <row r="220" spans="1:16" x14ac:dyDescent="0.3">
      <c r="A220" t="s">
        <v>250</v>
      </c>
      <c r="B220" t="s">
        <v>31</v>
      </c>
      <c r="C220" t="s">
        <v>27</v>
      </c>
      <c r="D220" t="s">
        <v>1034</v>
      </c>
      <c r="E220" t="s">
        <v>19</v>
      </c>
      <c r="F220" t="s">
        <v>18</v>
      </c>
      <c r="G220">
        <v>23838</v>
      </c>
      <c r="H220">
        <v>0</v>
      </c>
      <c r="I220">
        <v>522</v>
      </c>
      <c r="J220">
        <v>180</v>
      </c>
      <c r="K220">
        <v>1</v>
      </c>
      <c r="L220" t="s">
        <v>29</v>
      </c>
      <c r="M220" t="s">
        <v>21</v>
      </c>
      <c r="N220">
        <v>23838</v>
      </c>
      <c r="O220" t="s">
        <v>25</v>
      </c>
      <c r="P220" t="s">
        <v>23</v>
      </c>
    </row>
    <row r="221" spans="1:16" x14ac:dyDescent="0.3">
      <c r="A221" t="s">
        <v>251</v>
      </c>
      <c r="B221" t="s">
        <v>17</v>
      </c>
      <c r="C221" t="s">
        <v>27</v>
      </c>
      <c r="D221" t="s">
        <v>1035</v>
      </c>
      <c r="E221" t="s">
        <v>19</v>
      </c>
      <c r="F221" t="s">
        <v>27</v>
      </c>
      <c r="G221">
        <v>9430</v>
      </c>
      <c r="H221">
        <v>0</v>
      </c>
      <c r="I221">
        <v>483</v>
      </c>
      <c r="J221">
        <v>300</v>
      </c>
      <c r="K221">
        <v>1</v>
      </c>
      <c r="L221" t="s">
        <v>34</v>
      </c>
      <c r="M221" t="s">
        <v>21</v>
      </c>
      <c r="N221">
        <v>9430</v>
      </c>
      <c r="O221" t="s">
        <v>22</v>
      </c>
      <c r="P221" t="s">
        <v>23</v>
      </c>
    </row>
    <row r="222" spans="1:16" x14ac:dyDescent="0.3">
      <c r="A222" t="s">
        <v>252</v>
      </c>
      <c r="B222" t="s">
        <v>31</v>
      </c>
      <c r="C222" t="s">
        <v>27</v>
      </c>
      <c r="D222" t="s">
        <v>1035</v>
      </c>
      <c r="E222" t="s">
        <v>19</v>
      </c>
      <c r="F222" t="s">
        <v>27</v>
      </c>
      <c r="G222">
        <v>24491</v>
      </c>
      <c r="H222">
        <v>0</v>
      </c>
      <c r="I222">
        <v>161</v>
      </c>
      <c r="J222">
        <v>180</v>
      </c>
      <c r="K222">
        <v>1</v>
      </c>
      <c r="L222" t="s">
        <v>29</v>
      </c>
      <c r="M222" t="s">
        <v>21</v>
      </c>
      <c r="N222">
        <v>24491</v>
      </c>
      <c r="O222" t="s">
        <v>25</v>
      </c>
      <c r="P222" t="s">
        <v>23</v>
      </c>
    </row>
    <row r="223" spans="1:16" x14ac:dyDescent="0.3">
      <c r="A223" t="s">
        <v>253</v>
      </c>
      <c r="B223" t="s">
        <v>17</v>
      </c>
      <c r="C223" t="s">
        <v>18</v>
      </c>
      <c r="D223" t="s">
        <v>1035</v>
      </c>
      <c r="E223" t="s">
        <v>28</v>
      </c>
      <c r="F223" t="s">
        <v>27</v>
      </c>
      <c r="G223">
        <v>4971</v>
      </c>
      <c r="H223">
        <v>0</v>
      </c>
      <c r="I223">
        <v>314</v>
      </c>
      <c r="J223">
        <v>180</v>
      </c>
      <c r="K223">
        <v>1</v>
      </c>
      <c r="L223" t="s">
        <v>34</v>
      </c>
      <c r="M223" t="s">
        <v>53</v>
      </c>
      <c r="N223">
        <v>4971</v>
      </c>
      <c r="O223" t="s">
        <v>35</v>
      </c>
      <c r="P223" t="s">
        <v>23</v>
      </c>
    </row>
    <row r="224" spans="1:16" x14ac:dyDescent="0.3">
      <c r="A224" t="s">
        <v>254</v>
      </c>
      <c r="B224" t="s">
        <v>17</v>
      </c>
      <c r="C224" t="s">
        <v>27</v>
      </c>
      <c r="D224" t="s">
        <v>1032</v>
      </c>
      <c r="E224" t="s">
        <v>28</v>
      </c>
      <c r="F224" t="s">
        <v>27</v>
      </c>
      <c r="G224">
        <v>23767</v>
      </c>
      <c r="H224">
        <v>0</v>
      </c>
      <c r="I224">
        <v>403</v>
      </c>
      <c r="J224">
        <v>120</v>
      </c>
      <c r="K224">
        <v>1</v>
      </c>
      <c r="L224" t="s">
        <v>29</v>
      </c>
      <c r="M224" t="s">
        <v>21</v>
      </c>
      <c r="N224">
        <v>23767</v>
      </c>
      <c r="O224" t="s">
        <v>25</v>
      </c>
      <c r="P224" t="s">
        <v>23</v>
      </c>
    </row>
    <row r="225" spans="1:16" x14ac:dyDescent="0.3">
      <c r="A225" t="s">
        <v>255</v>
      </c>
      <c r="B225" t="s">
        <v>31</v>
      </c>
      <c r="C225" t="s">
        <v>18</v>
      </c>
      <c r="D225" t="s">
        <v>1034</v>
      </c>
      <c r="E225" t="s">
        <v>19</v>
      </c>
      <c r="F225" t="s">
        <v>27</v>
      </c>
      <c r="G225">
        <v>11720</v>
      </c>
      <c r="H225">
        <v>6120</v>
      </c>
      <c r="I225">
        <v>261</v>
      </c>
      <c r="J225">
        <v>360</v>
      </c>
      <c r="K225">
        <v>1</v>
      </c>
      <c r="L225" t="s">
        <v>29</v>
      </c>
      <c r="M225" t="s">
        <v>21</v>
      </c>
      <c r="N225">
        <v>17840</v>
      </c>
      <c r="O225" t="s">
        <v>25</v>
      </c>
      <c r="P225" t="s">
        <v>23</v>
      </c>
    </row>
    <row r="226" spans="1:16" x14ac:dyDescent="0.3">
      <c r="A226" t="s">
        <v>256</v>
      </c>
      <c r="B226" t="s">
        <v>17</v>
      </c>
      <c r="C226" t="s">
        <v>27</v>
      </c>
      <c r="D226" t="s">
        <v>1035</v>
      </c>
      <c r="E226" t="s">
        <v>28</v>
      </c>
      <c r="F226" t="s">
        <v>18</v>
      </c>
      <c r="G226">
        <v>11339</v>
      </c>
      <c r="H226">
        <v>0</v>
      </c>
      <c r="I226">
        <v>73</v>
      </c>
      <c r="J226">
        <v>240</v>
      </c>
      <c r="K226">
        <v>1</v>
      </c>
      <c r="L226" t="s">
        <v>34</v>
      </c>
      <c r="M226" t="s">
        <v>21</v>
      </c>
      <c r="N226">
        <v>11339</v>
      </c>
      <c r="O226" t="s">
        <v>25</v>
      </c>
      <c r="P226" t="s">
        <v>23</v>
      </c>
    </row>
    <row r="227" spans="1:16" x14ac:dyDescent="0.3">
      <c r="A227" t="s">
        <v>257</v>
      </c>
      <c r="B227" t="s">
        <v>17</v>
      </c>
      <c r="C227" t="s">
        <v>18</v>
      </c>
      <c r="D227" t="s">
        <v>1033</v>
      </c>
      <c r="E227" t="s">
        <v>19</v>
      </c>
      <c r="F227" t="s">
        <v>27</v>
      </c>
      <c r="G227">
        <v>19845</v>
      </c>
      <c r="H227">
        <v>7485</v>
      </c>
      <c r="I227">
        <v>287</v>
      </c>
      <c r="J227">
        <v>300</v>
      </c>
      <c r="K227">
        <v>1</v>
      </c>
      <c r="L227" t="s">
        <v>20</v>
      </c>
      <c r="M227" t="s">
        <v>21</v>
      </c>
      <c r="N227">
        <v>27330</v>
      </c>
      <c r="O227" t="s">
        <v>25</v>
      </c>
      <c r="P227" t="s">
        <v>23</v>
      </c>
    </row>
    <row r="228" spans="1:16" x14ac:dyDescent="0.3">
      <c r="A228" t="s">
        <v>258</v>
      </c>
      <c r="B228" t="s">
        <v>31</v>
      </c>
      <c r="C228" t="s">
        <v>27</v>
      </c>
      <c r="D228" t="s">
        <v>1034</v>
      </c>
      <c r="E228" t="s">
        <v>19</v>
      </c>
      <c r="F228" t="s">
        <v>27</v>
      </c>
      <c r="G228">
        <v>20905</v>
      </c>
      <c r="H228">
        <v>7537</v>
      </c>
      <c r="I228">
        <v>54</v>
      </c>
      <c r="J228">
        <v>180</v>
      </c>
      <c r="K228">
        <v>1</v>
      </c>
      <c r="L228" t="s">
        <v>34</v>
      </c>
      <c r="M228" t="s">
        <v>21</v>
      </c>
      <c r="N228">
        <v>28442</v>
      </c>
      <c r="O228" t="s">
        <v>25</v>
      </c>
      <c r="P228" t="s">
        <v>23</v>
      </c>
    </row>
    <row r="229" spans="1:16" x14ac:dyDescent="0.3">
      <c r="A229" t="s">
        <v>259</v>
      </c>
      <c r="B229" t="s">
        <v>17</v>
      </c>
      <c r="C229" t="s">
        <v>18</v>
      </c>
      <c r="D229" t="s">
        <v>1033</v>
      </c>
      <c r="E229" t="s">
        <v>28</v>
      </c>
      <c r="F229" t="s">
        <v>27</v>
      </c>
      <c r="G229">
        <v>7957</v>
      </c>
      <c r="H229">
        <v>0</v>
      </c>
      <c r="I229">
        <v>318</v>
      </c>
      <c r="J229">
        <v>300</v>
      </c>
      <c r="K229">
        <v>1</v>
      </c>
      <c r="L229" t="s">
        <v>34</v>
      </c>
      <c r="M229" t="s">
        <v>21</v>
      </c>
      <c r="N229">
        <v>7957</v>
      </c>
      <c r="O229" t="s">
        <v>22</v>
      </c>
      <c r="P229" t="s">
        <v>23</v>
      </c>
    </row>
    <row r="230" spans="1:16" x14ac:dyDescent="0.3">
      <c r="A230" t="s">
        <v>260</v>
      </c>
      <c r="B230" t="s">
        <v>31</v>
      </c>
      <c r="C230" t="s">
        <v>27</v>
      </c>
      <c r="D230" t="s">
        <v>1035</v>
      </c>
      <c r="E230" t="s">
        <v>19</v>
      </c>
      <c r="F230" t="s">
        <v>27</v>
      </c>
      <c r="G230">
        <v>13033</v>
      </c>
      <c r="H230">
        <v>14352</v>
      </c>
      <c r="I230">
        <v>682</v>
      </c>
      <c r="J230">
        <v>180</v>
      </c>
      <c r="K230">
        <v>0</v>
      </c>
      <c r="L230" t="s">
        <v>34</v>
      </c>
      <c r="M230" t="s">
        <v>21</v>
      </c>
      <c r="N230">
        <v>27385</v>
      </c>
      <c r="O230" t="s">
        <v>25</v>
      </c>
      <c r="P230" t="s">
        <v>32</v>
      </c>
    </row>
    <row r="231" spans="1:16" x14ac:dyDescent="0.3">
      <c r="A231" t="s">
        <v>261</v>
      </c>
      <c r="B231" t="s">
        <v>31</v>
      </c>
      <c r="C231" t="s">
        <v>18</v>
      </c>
      <c r="D231" t="s">
        <v>1033</v>
      </c>
      <c r="E231" t="s">
        <v>28</v>
      </c>
      <c r="F231" t="s">
        <v>18</v>
      </c>
      <c r="G231">
        <v>9317</v>
      </c>
      <c r="H231">
        <v>0</v>
      </c>
      <c r="I231">
        <v>237</v>
      </c>
      <c r="J231">
        <v>240</v>
      </c>
      <c r="K231">
        <v>1</v>
      </c>
      <c r="L231" t="s">
        <v>34</v>
      </c>
      <c r="M231" t="s">
        <v>21</v>
      </c>
      <c r="N231">
        <v>9317</v>
      </c>
      <c r="O231" t="s">
        <v>22</v>
      </c>
      <c r="P231" t="s">
        <v>23</v>
      </c>
    </row>
    <row r="232" spans="1:16" x14ac:dyDescent="0.3">
      <c r="A232" t="s">
        <v>262</v>
      </c>
      <c r="B232" t="s">
        <v>31</v>
      </c>
      <c r="C232" t="s">
        <v>27</v>
      </c>
      <c r="D232" t="s">
        <v>1033</v>
      </c>
      <c r="E232" t="s">
        <v>28</v>
      </c>
      <c r="F232" t="s">
        <v>27</v>
      </c>
      <c r="G232">
        <v>7586</v>
      </c>
      <c r="H232">
        <v>0</v>
      </c>
      <c r="I232">
        <v>618</v>
      </c>
      <c r="J232">
        <v>180</v>
      </c>
      <c r="K232">
        <v>1</v>
      </c>
      <c r="L232" t="s">
        <v>20</v>
      </c>
      <c r="M232" t="s">
        <v>21</v>
      </c>
      <c r="N232">
        <v>7586</v>
      </c>
      <c r="O232" t="s">
        <v>22</v>
      </c>
      <c r="P232" t="s">
        <v>23</v>
      </c>
    </row>
    <row r="233" spans="1:16" x14ac:dyDescent="0.3">
      <c r="A233" t="s">
        <v>263</v>
      </c>
      <c r="B233" t="s">
        <v>17</v>
      </c>
      <c r="C233" t="s">
        <v>27</v>
      </c>
      <c r="D233" t="s">
        <v>1035</v>
      </c>
      <c r="E233" t="s">
        <v>19</v>
      </c>
      <c r="F233" t="s">
        <v>27</v>
      </c>
      <c r="G233">
        <v>1814</v>
      </c>
      <c r="H233">
        <v>0</v>
      </c>
      <c r="I233">
        <v>249</v>
      </c>
      <c r="J233">
        <v>300</v>
      </c>
      <c r="K233">
        <v>0</v>
      </c>
      <c r="L233" t="s">
        <v>34</v>
      </c>
      <c r="M233" t="s">
        <v>53</v>
      </c>
      <c r="N233">
        <v>1814</v>
      </c>
      <c r="O233" t="s">
        <v>35</v>
      </c>
      <c r="P233" t="s">
        <v>32</v>
      </c>
    </row>
    <row r="234" spans="1:16" x14ac:dyDescent="0.3">
      <c r="A234" t="s">
        <v>264</v>
      </c>
      <c r="B234" t="s">
        <v>31</v>
      </c>
      <c r="C234" t="s">
        <v>27</v>
      </c>
      <c r="D234" t="s">
        <v>1035</v>
      </c>
      <c r="E234" t="s">
        <v>28</v>
      </c>
      <c r="F234" t="s">
        <v>27</v>
      </c>
      <c r="G234">
        <v>17513</v>
      </c>
      <c r="H234">
        <v>0</v>
      </c>
      <c r="I234">
        <v>628</v>
      </c>
      <c r="J234">
        <v>120</v>
      </c>
      <c r="K234">
        <v>0</v>
      </c>
      <c r="L234" t="s">
        <v>20</v>
      </c>
      <c r="M234" t="s">
        <v>21</v>
      </c>
      <c r="N234">
        <v>17513</v>
      </c>
      <c r="O234" t="s">
        <v>25</v>
      </c>
      <c r="P234" t="s">
        <v>32</v>
      </c>
    </row>
    <row r="235" spans="1:16" x14ac:dyDescent="0.3">
      <c r="A235" t="s">
        <v>265</v>
      </c>
      <c r="B235" t="s">
        <v>31</v>
      </c>
      <c r="C235" t="s">
        <v>18</v>
      </c>
      <c r="D235" t="s">
        <v>1032</v>
      </c>
      <c r="E235" t="s">
        <v>19</v>
      </c>
      <c r="F235" t="s">
        <v>27</v>
      </c>
      <c r="G235">
        <v>7011</v>
      </c>
      <c r="H235">
        <v>13291</v>
      </c>
      <c r="I235">
        <v>629</v>
      </c>
      <c r="J235">
        <v>300</v>
      </c>
      <c r="K235">
        <v>1</v>
      </c>
      <c r="L235" t="s">
        <v>20</v>
      </c>
      <c r="M235" t="s">
        <v>21</v>
      </c>
      <c r="N235">
        <v>20302</v>
      </c>
      <c r="O235" t="s">
        <v>25</v>
      </c>
      <c r="P235" t="s">
        <v>23</v>
      </c>
    </row>
    <row r="236" spans="1:16" x14ac:dyDescent="0.3">
      <c r="A236" t="s">
        <v>266</v>
      </c>
      <c r="B236" t="s">
        <v>17</v>
      </c>
      <c r="C236" t="s">
        <v>27</v>
      </c>
      <c r="D236" t="s">
        <v>1032</v>
      </c>
      <c r="E236" t="s">
        <v>19</v>
      </c>
      <c r="F236" t="s">
        <v>27</v>
      </c>
      <c r="G236">
        <v>19402</v>
      </c>
      <c r="H236">
        <v>4080</v>
      </c>
      <c r="I236">
        <v>154</v>
      </c>
      <c r="J236">
        <v>180</v>
      </c>
      <c r="K236">
        <v>1</v>
      </c>
      <c r="L236" t="s">
        <v>20</v>
      </c>
      <c r="M236" t="s">
        <v>21</v>
      </c>
      <c r="N236">
        <v>23482</v>
      </c>
      <c r="O236" t="s">
        <v>25</v>
      </c>
      <c r="P236" t="s">
        <v>23</v>
      </c>
    </row>
    <row r="237" spans="1:16" x14ac:dyDescent="0.3">
      <c r="A237" t="s">
        <v>267</v>
      </c>
      <c r="B237" t="s">
        <v>31</v>
      </c>
      <c r="C237" t="s">
        <v>27</v>
      </c>
      <c r="D237" t="s">
        <v>1032</v>
      </c>
      <c r="E237" t="s">
        <v>19</v>
      </c>
      <c r="F237" t="s">
        <v>27</v>
      </c>
      <c r="G237">
        <v>5346</v>
      </c>
      <c r="H237">
        <v>0</v>
      </c>
      <c r="I237">
        <v>264</v>
      </c>
      <c r="J237">
        <v>360</v>
      </c>
      <c r="K237">
        <v>1</v>
      </c>
      <c r="L237" t="s">
        <v>34</v>
      </c>
      <c r="M237" t="s">
        <v>21</v>
      </c>
      <c r="N237">
        <v>5346</v>
      </c>
      <c r="O237" t="s">
        <v>22</v>
      </c>
      <c r="P237" t="s">
        <v>23</v>
      </c>
    </row>
    <row r="238" spans="1:16" x14ac:dyDescent="0.3">
      <c r="A238" t="s">
        <v>268</v>
      </c>
      <c r="B238" t="s">
        <v>31</v>
      </c>
      <c r="C238" t="s">
        <v>18</v>
      </c>
      <c r="D238" t="s">
        <v>1033</v>
      </c>
      <c r="E238" t="s">
        <v>19</v>
      </c>
      <c r="F238" t="s">
        <v>18</v>
      </c>
      <c r="G238">
        <v>3445</v>
      </c>
      <c r="H238">
        <v>9840</v>
      </c>
      <c r="I238">
        <v>595</v>
      </c>
      <c r="J238">
        <v>240</v>
      </c>
      <c r="K238">
        <v>1</v>
      </c>
      <c r="L238" t="s">
        <v>20</v>
      </c>
      <c r="M238" t="s">
        <v>21</v>
      </c>
      <c r="N238">
        <v>13285</v>
      </c>
      <c r="O238" t="s">
        <v>25</v>
      </c>
      <c r="P238" t="s">
        <v>23</v>
      </c>
    </row>
    <row r="239" spans="1:16" x14ac:dyDescent="0.3">
      <c r="A239" t="s">
        <v>269</v>
      </c>
      <c r="B239" t="s">
        <v>31</v>
      </c>
      <c r="C239" t="s">
        <v>27</v>
      </c>
      <c r="D239" t="s">
        <v>1032</v>
      </c>
      <c r="E239" t="s">
        <v>28</v>
      </c>
      <c r="F239" t="s">
        <v>18</v>
      </c>
      <c r="G239">
        <v>5942</v>
      </c>
      <c r="H239">
        <v>12789</v>
      </c>
      <c r="I239">
        <v>110</v>
      </c>
      <c r="J239">
        <v>240</v>
      </c>
      <c r="K239">
        <v>0</v>
      </c>
      <c r="L239" t="s">
        <v>20</v>
      </c>
      <c r="M239" t="s">
        <v>21</v>
      </c>
      <c r="N239">
        <v>18731</v>
      </c>
      <c r="O239" t="s">
        <v>25</v>
      </c>
      <c r="P239" t="s">
        <v>32</v>
      </c>
    </row>
    <row r="240" spans="1:16" x14ac:dyDescent="0.3">
      <c r="A240" t="s">
        <v>270</v>
      </c>
      <c r="B240" t="s">
        <v>17</v>
      </c>
      <c r="C240" t="s">
        <v>18</v>
      </c>
      <c r="D240" t="s">
        <v>1033</v>
      </c>
      <c r="E240" t="s">
        <v>28</v>
      </c>
      <c r="F240" t="s">
        <v>18</v>
      </c>
      <c r="G240">
        <v>23658</v>
      </c>
      <c r="H240">
        <v>6934</v>
      </c>
      <c r="I240">
        <v>195</v>
      </c>
      <c r="J240">
        <v>360</v>
      </c>
      <c r="K240">
        <v>1</v>
      </c>
      <c r="L240" t="s">
        <v>34</v>
      </c>
      <c r="M240" t="s">
        <v>21</v>
      </c>
      <c r="N240">
        <v>30592</v>
      </c>
      <c r="O240" t="s">
        <v>25</v>
      </c>
      <c r="P240" t="s">
        <v>23</v>
      </c>
    </row>
    <row r="241" spans="1:16" x14ac:dyDescent="0.3">
      <c r="A241" t="s">
        <v>271</v>
      </c>
      <c r="B241" t="s">
        <v>31</v>
      </c>
      <c r="C241" t="s">
        <v>27</v>
      </c>
      <c r="D241" t="s">
        <v>1035</v>
      </c>
      <c r="E241" t="s">
        <v>19</v>
      </c>
      <c r="F241" t="s">
        <v>18</v>
      </c>
      <c r="G241">
        <v>14700</v>
      </c>
      <c r="H241">
        <v>8947</v>
      </c>
      <c r="I241">
        <v>427</v>
      </c>
      <c r="J241">
        <v>300</v>
      </c>
      <c r="K241">
        <v>0</v>
      </c>
      <c r="L241" t="s">
        <v>29</v>
      </c>
      <c r="M241" t="s">
        <v>21</v>
      </c>
      <c r="N241">
        <v>23647</v>
      </c>
      <c r="O241" t="s">
        <v>25</v>
      </c>
      <c r="P241" t="s">
        <v>32</v>
      </c>
    </row>
    <row r="242" spans="1:16" x14ac:dyDescent="0.3">
      <c r="A242" t="s">
        <v>272</v>
      </c>
      <c r="B242" t="s">
        <v>17</v>
      </c>
      <c r="C242" t="s">
        <v>18</v>
      </c>
      <c r="D242" t="s">
        <v>1035</v>
      </c>
      <c r="E242" t="s">
        <v>28</v>
      </c>
      <c r="F242" t="s">
        <v>18</v>
      </c>
      <c r="G242">
        <v>19012</v>
      </c>
      <c r="H242">
        <v>0</v>
      </c>
      <c r="I242">
        <v>489</v>
      </c>
      <c r="J242">
        <v>180</v>
      </c>
      <c r="K242">
        <v>1</v>
      </c>
      <c r="L242" t="s">
        <v>29</v>
      </c>
      <c r="M242" t="s">
        <v>21</v>
      </c>
      <c r="N242">
        <v>19012</v>
      </c>
      <c r="O242" t="s">
        <v>25</v>
      </c>
      <c r="P242" t="s">
        <v>23</v>
      </c>
    </row>
    <row r="243" spans="1:16" x14ac:dyDescent="0.3">
      <c r="A243" t="s">
        <v>273</v>
      </c>
      <c r="B243" t="s">
        <v>31</v>
      </c>
      <c r="C243" t="s">
        <v>27</v>
      </c>
      <c r="D243" t="s">
        <v>1033</v>
      </c>
      <c r="E243" t="s">
        <v>28</v>
      </c>
      <c r="F243" t="s">
        <v>27</v>
      </c>
      <c r="G243">
        <v>23865</v>
      </c>
      <c r="H243">
        <v>0</v>
      </c>
      <c r="I243">
        <v>97</v>
      </c>
      <c r="J243">
        <v>120</v>
      </c>
      <c r="K243">
        <v>1</v>
      </c>
      <c r="L243" t="s">
        <v>29</v>
      </c>
      <c r="M243" t="s">
        <v>21</v>
      </c>
      <c r="N243">
        <v>23865</v>
      </c>
      <c r="O243" t="s">
        <v>25</v>
      </c>
      <c r="P243" t="s">
        <v>23</v>
      </c>
    </row>
    <row r="244" spans="1:16" x14ac:dyDescent="0.3">
      <c r="A244" t="s">
        <v>274</v>
      </c>
      <c r="B244" t="s">
        <v>17</v>
      </c>
      <c r="C244" t="s">
        <v>18</v>
      </c>
      <c r="D244" t="s">
        <v>1033</v>
      </c>
      <c r="E244" t="s">
        <v>28</v>
      </c>
      <c r="F244" t="s">
        <v>27</v>
      </c>
      <c r="G244">
        <v>1522</v>
      </c>
      <c r="H244">
        <v>0</v>
      </c>
      <c r="I244">
        <v>185</v>
      </c>
      <c r="J244">
        <v>240</v>
      </c>
      <c r="K244">
        <v>1</v>
      </c>
      <c r="L244" t="s">
        <v>29</v>
      </c>
      <c r="M244" t="s">
        <v>53</v>
      </c>
      <c r="N244">
        <v>1522</v>
      </c>
      <c r="O244" t="s">
        <v>35</v>
      </c>
      <c r="P244" t="s">
        <v>23</v>
      </c>
    </row>
    <row r="245" spans="1:16" x14ac:dyDescent="0.3">
      <c r="A245" t="s">
        <v>275</v>
      </c>
      <c r="B245" t="s">
        <v>17</v>
      </c>
      <c r="C245" t="s">
        <v>27</v>
      </c>
      <c r="D245" t="s">
        <v>1032</v>
      </c>
      <c r="E245" t="s">
        <v>19</v>
      </c>
      <c r="F245" t="s">
        <v>27</v>
      </c>
      <c r="G245">
        <v>23274</v>
      </c>
      <c r="H245">
        <v>0</v>
      </c>
      <c r="I245">
        <v>103</v>
      </c>
      <c r="J245">
        <v>300</v>
      </c>
      <c r="K245">
        <v>1</v>
      </c>
      <c r="L245" t="s">
        <v>34</v>
      </c>
      <c r="M245" t="s">
        <v>21</v>
      </c>
      <c r="N245">
        <v>23274</v>
      </c>
      <c r="O245" t="s">
        <v>25</v>
      </c>
      <c r="P245" t="s">
        <v>23</v>
      </c>
    </row>
    <row r="246" spans="1:16" x14ac:dyDescent="0.3">
      <c r="A246" t="s">
        <v>276</v>
      </c>
      <c r="B246" t="s">
        <v>17</v>
      </c>
      <c r="C246" t="s">
        <v>27</v>
      </c>
      <c r="D246" t="s">
        <v>1034</v>
      </c>
      <c r="E246" t="s">
        <v>19</v>
      </c>
      <c r="F246" t="s">
        <v>18</v>
      </c>
      <c r="G246">
        <v>8493</v>
      </c>
      <c r="H246">
        <v>0</v>
      </c>
      <c r="I246">
        <v>185</v>
      </c>
      <c r="J246">
        <v>360</v>
      </c>
      <c r="K246">
        <v>1</v>
      </c>
      <c r="L246" t="s">
        <v>34</v>
      </c>
      <c r="M246" t="s">
        <v>21</v>
      </c>
      <c r="N246">
        <v>8493</v>
      </c>
      <c r="O246" t="s">
        <v>22</v>
      </c>
      <c r="P246" t="s">
        <v>23</v>
      </c>
    </row>
    <row r="247" spans="1:16" x14ac:dyDescent="0.3">
      <c r="A247" t="s">
        <v>277</v>
      </c>
      <c r="B247" t="s">
        <v>31</v>
      </c>
      <c r="C247" t="s">
        <v>18</v>
      </c>
      <c r="D247" t="s">
        <v>1034</v>
      </c>
      <c r="E247" t="s">
        <v>28</v>
      </c>
      <c r="F247" t="s">
        <v>18</v>
      </c>
      <c r="G247">
        <v>15338</v>
      </c>
      <c r="H247">
        <v>0</v>
      </c>
      <c r="I247">
        <v>539</v>
      </c>
      <c r="J247">
        <v>120</v>
      </c>
      <c r="K247">
        <v>1</v>
      </c>
      <c r="L247" t="s">
        <v>20</v>
      </c>
      <c r="M247" t="s">
        <v>21</v>
      </c>
      <c r="N247">
        <v>15338</v>
      </c>
      <c r="O247" t="s">
        <v>25</v>
      </c>
      <c r="P247" t="s">
        <v>23</v>
      </c>
    </row>
    <row r="248" spans="1:16" x14ac:dyDescent="0.3">
      <c r="A248" t="s">
        <v>278</v>
      </c>
      <c r="B248" t="s">
        <v>17</v>
      </c>
      <c r="C248" t="s">
        <v>18</v>
      </c>
      <c r="D248" t="s">
        <v>1032</v>
      </c>
      <c r="E248" t="s">
        <v>28</v>
      </c>
      <c r="F248" t="s">
        <v>27</v>
      </c>
      <c r="G248">
        <v>5993</v>
      </c>
      <c r="H248">
        <v>0</v>
      </c>
      <c r="I248">
        <v>196</v>
      </c>
      <c r="J248">
        <v>120</v>
      </c>
      <c r="K248">
        <v>1</v>
      </c>
      <c r="L248" t="s">
        <v>20</v>
      </c>
      <c r="M248" t="s">
        <v>21</v>
      </c>
      <c r="N248">
        <v>5993</v>
      </c>
      <c r="O248" t="s">
        <v>22</v>
      </c>
      <c r="P248" t="s">
        <v>23</v>
      </c>
    </row>
    <row r="249" spans="1:16" x14ac:dyDescent="0.3">
      <c r="A249" t="s">
        <v>279</v>
      </c>
      <c r="B249" t="s">
        <v>17</v>
      </c>
      <c r="C249" t="s">
        <v>27</v>
      </c>
      <c r="D249" t="s">
        <v>1032</v>
      </c>
      <c r="E249" t="s">
        <v>19</v>
      </c>
      <c r="F249" t="s">
        <v>18</v>
      </c>
      <c r="G249">
        <v>14990</v>
      </c>
      <c r="H249">
        <v>10593</v>
      </c>
      <c r="I249">
        <v>272</v>
      </c>
      <c r="J249">
        <v>120</v>
      </c>
      <c r="K249">
        <v>0</v>
      </c>
      <c r="L249" t="s">
        <v>20</v>
      </c>
      <c r="M249" t="s">
        <v>21</v>
      </c>
      <c r="N249">
        <v>25583</v>
      </c>
      <c r="O249" t="s">
        <v>25</v>
      </c>
      <c r="P249" t="s">
        <v>32</v>
      </c>
    </row>
    <row r="250" spans="1:16" x14ac:dyDescent="0.3">
      <c r="A250" t="s">
        <v>280</v>
      </c>
      <c r="B250" t="s">
        <v>17</v>
      </c>
      <c r="C250" t="s">
        <v>27</v>
      </c>
      <c r="D250" t="s">
        <v>1032</v>
      </c>
      <c r="E250" t="s">
        <v>28</v>
      </c>
      <c r="F250" t="s">
        <v>27</v>
      </c>
      <c r="G250">
        <v>6081</v>
      </c>
      <c r="H250">
        <v>4559</v>
      </c>
      <c r="I250">
        <v>136</v>
      </c>
      <c r="J250">
        <v>180</v>
      </c>
      <c r="K250">
        <v>1</v>
      </c>
      <c r="L250" t="s">
        <v>34</v>
      </c>
      <c r="M250" t="s">
        <v>21</v>
      </c>
      <c r="N250">
        <v>10640</v>
      </c>
      <c r="O250" t="s">
        <v>25</v>
      </c>
      <c r="P250" t="s">
        <v>23</v>
      </c>
    </row>
    <row r="251" spans="1:16" x14ac:dyDescent="0.3">
      <c r="A251" t="s">
        <v>281</v>
      </c>
      <c r="B251" t="s">
        <v>31</v>
      </c>
      <c r="C251" t="s">
        <v>18</v>
      </c>
      <c r="D251" t="s">
        <v>1032</v>
      </c>
      <c r="E251" t="s">
        <v>19</v>
      </c>
      <c r="F251" t="s">
        <v>18</v>
      </c>
      <c r="G251">
        <v>14336</v>
      </c>
      <c r="H251">
        <v>0</v>
      </c>
      <c r="I251">
        <v>295</v>
      </c>
      <c r="J251">
        <v>300</v>
      </c>
      <c r="K251">
        <v>1</v>
      </c>
      <c r="L251" t="s">
        <v>20</v>
      </c>
      <c r="M251" t="s">
        <v>21</v>
      </c>
      <c r="N251">
        <v>14336</v>
      </c>
      <c r="O251" t="s">
        <v>25</v>
      </c>
      <c r="P251" t="s">
        <v>23</v>
      </c>
    </row>
    <row r="252" spans="1:16" x14ac:dyDescent="0.3">
      <c r="A252" t="s">
        <v>282</v>
      </c>
      <c r="B252" t="s">
        <v>31</v>
      </c>
      <c r="C252" t="s">
        <v>18</v>
      </c>
      <c r="D252" t="s">
        <v>1034</v>
      </c>
      <c r="E252" t="s">
        <v>28</v>
      </c>
      <c r="F252" t="s">
        <v>27</v>
      </c>
      <c r="G252">
        <v>5824</v>
      </c>
      <c r="H252">
        <v>6837</v>
      </c>
      <c r="I252">
        <v>424</v>
      </c>
      <c r="J252">
        <v>360</v>
      </c>
      <c r="K252">
        <v>1</v>
      </c>
      <c r="L252" t="s">
        <v>29</v>
      </c>
      <c r="M252" t="s">
        <v>21</v>
      </c>
      <c r="N252">
        <v>12661</v>
      </c>
      <c r="O252" t="s">
        <v>25</v>
      </c>
      <c r="P252" t="s">
        <v>23</v>
      </c>
    </row>
    <row r="253" spans="1:16" x14ac:dyDescent="0.3">
      <c r="A253" t="s">
        <v>283</v>
      </c>
      <c r="B253" t="s">
        <v>17</v>
      </c>
      <c r="C253" t="s">
        <v>18</v>
      </c>
      <c r="D253" t="s">
        <v>1034</v>
      </c>
      <c r="E253" t="s">
        <v>19</v>
      </c>
      <c r="F253" t="s">
        <v>27</v>
      </c>
      <c r="G253">
        <v>8569</v>
      </c>
      <c r="H253">
        <v>0</v>
      </c>
      <c r="I253">
        <v>457</v>
      </c>
      <c r="J253">
        <v>360</v>
      </c>
      <c r="K253">
        <v>1</v>
      </c>
      <c r="L253" t="s">
        <v>34</v>
      </c>
      <c r="M253" t="s">
        <v>21</v>
      </c>
      <c r="N253">
        <v>8569</v>
      </c>
      <c r="O253" t="s">
        <v>22</v>
      </c>
      <c r="P253" t="s">
        <v>23</v>
      </c>
    </row>
    <row r="254" spans="1:16" x14ac:dyDescent="0.3">
      <c r="A254" t="s">
        <v>284</v>
      </c>
      <c r="B254" t="s">
        <v>31</v>
      </c>
      <c r="C254" t="s">
        <v>27</v>
      </c>
      <c r="D254" t="s">
        <v>1035</v>
      </c>
      <c r="E254" t="s">
        <v>19</v>
      </c>
      <c r="F254" t="s">
        <v>18</v>
      </c>
      <c r="G254">
        <v>10592</v>
      </c>
      <c r="H254">
        <v>1869</v>
      </c>
      <c r="I254">
        <v>130</v>
      </c>
      <c r="J254">
        <v>360</v>
      </c>
      <c r="K254">
        <v>0</v>
      </c>
      <c r="L254" t="s">
        <v>20</v>
      </c>
      <c r="M254" t="s">
        <v>21</v>
      </c>
      <c r="N254">
        <v>12461</v>
      </c>
      <c r="O254" t="s">
        <v>25</v>
      </c>
      <c r="P254" t="s">
        <v>32</v>
      </c>
    </row>
    <row r="255" spans="1:16" x14ac:dyDescent="0.3">
      <c r="A255" t="s">
        <v>285</v>
      </c>
      <c r="B255" t="s">
        <v>31</v>
      </c>
      <c r="C255" t="s">
        <v>27</v>
      </c>
      <c r="D255" t="s">
        <v>1034</v>
      </c>
      <c r="E255" t="s">
        <v>28</v>
      </c>
      <c r="F255" t="s">
        <v>27</v>
      </c>
      <c r="G255">
        <v>9319</v>
      </c>
      <c r="H255">
        <v>0</v>
      </c>
      <c r="I255">
        <v>138</v>
      </c>
      <c r="J255">
        <v>300</v>
      </c>
      <c r="K255">
        <v>1</v>
      </c>
      <c r="L255" t="s">
        <v>34</v>
      </c>
      <c r="M255" t="s">
        <v>21</v>
      </c>
      <c r="N255">
        <v>9319</v>
      </c>
      <c r="O255" t="s">
        <v>22</v>
      </c>
      <c r="P255" t="s">
        <v>23</v>
      </c>
    </row>
    <row r="256" spans="1:16" x14ac:dyDescent="0.3">
      <c r="A256" t="s">
        <v>286</v>
      </c>
      <c r="B256" t="s">
        <v>17</v>
      </c>
      <c r="C256" t="s">
        <v>27</v>
      </c>
      <c r="D256" t="s">
        <v>1033</v>
      </c>
      <c r="E256" t="s">
        <v>19</v>
      </c>
      <c r="F256" t="s">
        <v>18</v>
      </c>
      <c r="G256">
        <v>24696</v>
      </c>
      <c r="H256">
        <v>0</v>
      </c>
      <c r="I256">
        <v>217</v>
      </c>
      <c r="J256">
        <v>300</v>
      </c>
      <c r="K256">
        <v>0</v>
      </c>
      <c r="L256" t="s">
        <v>34</v>
      </c>
      <c r="M256" t="s">
        <v>21</v>
      </c>
      <c r="N256">
        <v>24696</v>
      </c>
      <c r="O256" t="s">
        <v>25</v>
      </c>
      <c r="P256" t="s">
        <v>32</v>
      </c>
    </row>
    <row r="257" spans="1:16" x14ac:dyDescent="0.3">
      <c r="A257" t="s">
        <v>287</v>
      </c>
      <c r="B257" t="s">
        <v>31</v>
      </c>
      <c r="C257" t="s">
        <v>18</v>
      </c>
      <c r="D257" t="s">
        <v>1032</v>
      </c>
      <c r="E257" t="s">
        <v>19</v>
      </c>
      <c r="F257" t="s">
        <v>27</v>
      </c>
      <c r="G257">
        <v>5368</v>
      </c>
      <c r="H257">
        <v>0</v>
      </c>
      <c r="I257">
        <v>393</v>
      </c>
      <c r="J257">
        <v>300</v>
      </c>
      <c r="K257">
        <v>1</v>
      </c>
      <c r="L257" t="s">
        <v>20</v>
      </c>
      <c r="M257" t="s">
        <v>21</v>
      </c>
      <c r="N257">
        <v>5368</v>
      </c>
      <c r="O257" t="s">
        <v>22</v>
      </c>
      <c r="P257" t="s">
        <v>23</v>
      </c>
    </row>
    <row r="258" spans="1:16" x14ac:dyDescent="0.3">
      <c r="A258" t="s">
        <v>288</v>
      </c>
      <c r="B258" t="s">
        <v>31</v>
      </c>
      <c r="C258" t="s">
        <v>18</v>
      </c>
      <c r="D258" t="s">
        <v>1035</v>
      </c>
      <c r="E258" t="s">
        <v>28</v>
      </c>
      <c r="F258" t="s">
        <v>27</v>
      </c>
      <c r="G258">
        <v>3316</v>
      </c>
      <c r="H258">
        <v>0</v>
      </c>
      <c r="I258">
        <v>426</v>
      </c>
      <c r="J258">
        <v>180</v>
      </c>
      <c r="K258">
        <v>1</v>
      </c>
      <c r="L258" t="s">
        <v>20</v>
      </c>
      <c r="M258" t="s">
        <v>53</v>
      </c>
      <c r="N258">
        <v>3316</v>
      </c>
      <c r="O258" t="s">
        <v>35</v>
      </c>
      <c r="P258" t="s">
        <v>23</v>
      </c>
    </row>
    <row r="259" spans="1:16" x14ac:dyDescent="0.3">
      <c r="A259" t="s">
        <v>289</v>
      </c>
      <c r="B259" t="s">
        <v>17</v>
      </c>
      <c r="C259" t="s">
        <v>18</v>
      </c>
      <c r="D259" t="s">
        <v>1034</v>
      </c>
      <c r="E259" t="s">
        <v>19</v>
      </c>
      <c r="F259" t="s">
        <v>18</v>
      </c>
      <c r="G259">
        <v>9513</v>
      </c>
      <c r="H259">
        <v>1253</v>
      </c>
      <c r="I259">
        <v>422</v>
      </c>
      <c r="J259">
        <v>300</v>
      </c>
      <c r="K259">
        <v>0</v>
      </c>
      <c r="L259" t="s">
        <v>20</v>
      </c>
      <c r="M259" t="s">
        <v>21</v>
      </c>
      <c r="N259">
        <v>10766</v>
      </c>
      <c r="O259" t="s">
        <v>25</v>
      </c>
      <c r="P259" t="s">
        <v>32</v>
      </c>
    </row>
    <row r="260" spans="1:16" x14ac:dyDescent="0.3">
      <c r="A260" t="s">
        <v>290</v>
      </c>
      <c r="B260" t="s">
        <v>17</v>
      </c>
      <c r="C260" t="s">
        <v>27</v>
      </c>
      <c r="D260" t="s">
        <v>1033</v>
      </c>
      <c r="E260" t="s">
        <v>28</v>
      </c>
      <c r="F260" t="s">
        <v>18</v>
      </c>
      <c r="G260">
        <v>15139</v>
      </c>
      <c r="H260">
        <v>12301</v>
      </c>
      <c r="I260">
        <v>327</v>
      </c>
      <c r="J260">
        <v>120</v>
      </c>
      <c r="K260">
        <v>1</v>
      </c>
      <c r="L260" t="s">
        <v>20</v>
      </c>
      <c r="M260" t="s">
        <v>21</v>
      </c>
      <c r="N260">
        <v>27440</v>
      </c>
      <c r="O260" t="s">
        <v>25</v>
      </c>
      <c r="P260" t="s">
        <v>23</v>
      </c>
    </row>
    <row r="261" spans="1:16" x14ac:dyDescent="0.3">
      <c r="A261" t="s">
        <v>291</v>
      </c>
      <c r="B261" t="s">
        <v>17</v>
      </c>
      <c r="C261" t="s">
        <v>18</v>
      </c>
      <c r="D261" t="s">
        <v>1033</v>
      </c>
      <c r="E261" t="s">
        <v>19</v>
      </c>
      <c r="F261" t="s">
        <v>27</v>
      </c>
      <c r="G261">
        <v>3758</v>
      </c>
      <c r="H261">
        <v>14868</v>
      </c>
      <c r="I261">
        <v>339</v>
      </c>
      <c r="J261">
        <v>240</v>
      </c>
      <c r="K261">
        <v>1</v>
      </c>
      <c r="L261" t="s">
        <v>34</v>
      </c>
      <c r="M261" t="s">
        <v>21</v>
      </c>
      <c r="N261">
        <v>18626</v>
      </c>
      <c r="O261" t="s">
        <v>25</v>
      </c>
      <c r="P261" t="s">
        <v>23</v>
      </c>
    </row>
    <row r="262" spans="1:16" x14ac:dyDescent="0.3">
      <c r="A262" t="s">
        <v>292</v>
      </c>
      <c r="B262" t="s">
        <v>31</v>
      </c>
      <c r="C262" t="s">
        <v>18</v>
      </c>
      <c r="D262" t="s">
        <v>1032</v>
      </c>
      <c r="E262" t="s">
        <v>19</v>
      </c>
      <c r="F262" t="s">
        <v>27</v>
      </c>
      <c r="G262">
        <v>19974</v>
      </c>
      <c r="H262">
        <v>13353</v>
      </c>
      <c r="I262">
        <v>687</v>
      </c>
      <c r="J262">
        <v>180</v>
      </c>
      <c r="K262">
        <v>1</v>
      </c>
      <c r="L262" t="s">
        <v>34</v>
      </c>
      <c r="M262" t="s">
        <v>21</v>
      </c>
      <c r="N262">
        <v>33327</v>
      </c>
      <c r="O262" t="s">
        <v>25</v>
      </c>
      <c r="P262" t="s">
        <v>23</v>
      </c>
    </row>
    <row r="263" spans="1:16" x14ac:dyDescent="0.3">
      <c r="A263" t="s">
        <v>293</v>
      </c>
      <c r="B263" t="s">
        <v>31</v>
      </c>
      <c r="C263" t="s">
        <v>18</v>
      </c>
      <c r="D263" t="s">
        <v>1033</v>
      </c>
      <c r="E263" t="s">
        <v>19</v>
      </c>
      <c r="F263" t="s">
        <v>18</v>
      </c>
      <c r="G263">
        <v>14936</v>
      </c>
      <c r="H263">
        <v>0</v>
      </c>
      <c r="I263">
        <v>604</v>
      </c>
      <c r="J263">
        <v>240</v>
      </c>
      <c r="K263">
        <v>1</v>
      </c>
      <c r="L263" t="s">
        <v>34</v>
      </c>
      <c r="M263" t="s">
        <v>21</v>
      </c>
      <c r="N263">
        <v>14936</v>
      </c>
      <c r="O263" t="s">
        <v>25</v>
      </c>
      <c r="P263" t="s">
        <v>23</v>
      </c>
    </row>
    <row r="264" spans="1:16" x14ac:dyDescent="0.3">
      <c r="A264" t="s">
        <v>294</v>
      </c>
      <c r="B264" t="s">
        <v>17</v>
      </c>
      <c r="C264" t="s">
        <v>27</v>
      </c>
      <c r="D264" t="s">
        <v>1034</v>
      </c>
      <c r="E264" t="s">
        <v>28</v>
      </c>
      <c r="F264" t="s">
        <v>27</v>
      </c>
      <c r="G264">
        <v>4906</v>
      </c>
      <c r="H264">
        <v>0</v>
      </c>
      <c r="I264">
        <v>479</v>
      </c>
      <c r="J264">
        <v>300</v>
      </c>
      <c r="K264">
        <v>0</v>
      </c>
      <c r="L264" t="s">
        <v>20</v>
      </c>
      <c r="M264" t="s">
        <v>53</v>
      </c>
      <c r="N264">
        <v>4906</v>
      </c>
      <c r="O264" t="s">
        <v>35</v>
      </c>
      <c r="P264" t="s">
        <v>32</v>
      </c>
    </row>
    <row r="265" spans="1:16" x14ac:dyDescent="0.3">
      <c r="A265" t="s">
        <v>295</v>
      </c>
      <c r="B265" t="s">
        <v>31</v>
      </c>
      <c r="C265" t="s">
        <v>18</v>
      </c>
      <c r="D265" t="s">
        <v>1034</v>
      </c>
      <c r="E265" t="s">
        <v>19</v>
      </c>
      <c r="F265" t="s">
        <v>27</v>
      </c>
      <c r="G265">
        <v>24465</v>
      </c>
      <c r="H265">
        <v>6602</v>
      </c>
      <c r="I265">
        <v>136</v>
      </c>
      <c r="J265">
        <v>360</v>
      </c>
      <c r="K265">
        <v>1</v>
      </c>
      <c r="L265" t="s">
        <v>20</v>
      </c>
      <c r="M265" t="s">
        <v>21</v>
      </c>
      <c r="N265">
        <v>31067</v>
      </c>
      <c r="O265" t="s">
        <v>25</v>
      </c>
      <c r="P265" t="s">
        <v>23</v>
      </c>
    </row>
    <row r="266" spans="1:16" x14ac:dyDescent="0.3">
      <c r="A266" t="s">
        <v>296</v>
      </c>
      <c r="B266" t="s">
        <v>31</v>
      </c>
      <c r="C266" t="s">
        <v>18</v>
      </c>
      <c r="D266" t="s">
        <v>1034</v>
      </c>
      <c r="E266" t="s">
        <v>28</v>
      </c>
      <c r="F266" t="s">
        <v>18</v>
      </c>
      <c r="G266">
        <v>9258</v>
      </c>
      <c r="H266">
        <v>5278</v>
      </c>
      <c r="I266">
        <v>372</v>
      </c>
      <c r="J266">
        <v>300</v>
      </c>
      <c r="K266">
        <v>1</v>
      </c>
      <c r="L266" t="s">
        <v>34</v>
      </c>
      <c r="M266" t="s">
        <v>21</v>
      </c>
      <c r="N266">
        <v>14536</v>
      </c>
      <c r="O266" t="s">
        <v>25</v>
      </c>
      <c r="P266" t="s">
        <v>23</v>
      </c>
    </row>
    <row r="267" spans="1:16" x14ac:dyDescent="0.3">
      <c r="A267" t="s">
        <v>297</v>
      </c>
      <c r="B267" t="s">
        <v>31</v>
      </c>
      <c r="C267" t="s">
        <v>27</v>
      </c>
      <c r="D267" t="s">
        <v>1035</v>
      </c>
      <c r="E267" t="s">
        <v>28</v>
      </c>
      <c r="F267" t="s">
        <v>18</v>
      </c>
      <c r="G267">
        <v>3947</v>
      </c>
      <c r="H267">
        <v>0</v>
      </c>
      <c r="I267">
        <v>648</v>
      </c>
      <c r="J267">
        <v>120</v>
      </c>
      <c r="K267">
        <v>1</v>
      </c>
      <c r="L267" t="s">
        <v>20</v>
      </c>
      <c r="M267" t="s">
        <v>53</v>
      </c>
      <c r="N267">
        <v>3947</v>
      </c>
      <c r="O267" t="s">
        <v>35</v>
      </c>
      <c r="P267" t="s">
        <v>23</v>
      </c>
    </row>
    <row r="268" spans="1:16" x14ac:dyDescent="0.3">
      <c r="A268" t="s">
        <v>298</v>
      </c>
      <c r="B268" t="s">
        <v>31</v>
      </c>
      <c r="C268" t="s">
        <v>27</v>
      </c>
      <c r="D268" t="s">
        <v>1032</v>
      </c>
      <c r="E268" t="s">
        <v>28</v>
      </c>
      <c r="F268" t="s">
        <v>18</v>
      </c>
      <c r="G268">
        <v>19061</v>
      </c>
      <c r="H268">
        <v>0</v>
      </c>
      <c r="I268">
        <v>512</v>
      </c>
      <c r="J268">
        <v>240</v>
      </c>
      <c r="K268">
        <v>1</v>
      </c>
      <c r="L268" t="s">
        <v>20</v>
      </c>
      <c r="M268" t="s">
        <v>21</v>
      </c>
      <c r="N268">
        <v>19061</v>
      </c>
      <c r="O268" t="s">
        <v>25</v>
      </c>
      <c r="P268" t="s">
        <v>23</v>
      </c>
    </row>
    <row r="269" spans="1:16" x14ac:dyDescent="0.3">
      <c r="A269" t="s">
        <v>299</v>
      </c>
      <c r="B269" t="s">
        <v>17</v>
      </c>
      <c r="C269" t="s">
        <v>18</v>
      </c>
      <c r="D269" t="s">
        <v>1032</v>
      </c>
      <c r="E269" t="s">
        <v>19</v>
      </c>
      <c r="F269" t="s">
        <v>18</v>
      </c>
      <c r="G269">
        <v>12241</v>
      </c>
      <c r="H269">
        <v>0</v>
      </c>
      <c r="I269">
        <v>304</v>
      </c>
      <c r="J269">
        <v>240</v>
      </c>
      <c r="K269">
        <v>1</v>
      </c>
      <c r="L269" t="s">
        <v>20</v>
      </c>
      <c r="M269" t="s">
        <v>21</v>
      </c>
      <c r="N269">
        <v>12241</v>
      </c>
      <c r="O269" t="s">
        <v>25</v>
      </c>
      <c r="P269" t="s">
        <v>23</v>
      </c>
    </row>
    <row r="270" spans="1:16" x14ac:dyDescent="0.3">
      <c r="A270" t="s">
        <v>300</v>
      </c>
      <c r="B270" t="s">
        <v>31</v>
      </c>
      <c r="C270" t="s">
        <v>27</v>
      </c>
      <c r="D270" t="s">
        <v>1033</v>
      </c>
      <c r="E270" t="s">
        <v>19</v>
      </c>
      <c r="F270" t="s">
        <v>27</v>
      </c>
      <c r="G270">
        <v>16317</v>
      </c>
      <c r="H270">
        <v>0</v>
      </c>
      <c r="I270">
        <v>146</v>
      </c>
      <c r="J270">
        <v>300</v>
      </c>
      <c r="K270">
        <v>1</v>
      </c>
      <c r="L270" t="s">
        <v>20</v>
      </c>
      <c r="M270" t="s">
        <v>21</v>
      </c>
      <c r="N270">
        <v>16317</v>
      </c>
      <c r="O270" t="s">
        <v>25</v>
      </c>
      <c r="P270" t="s">
        <v>23</v>
      </c>
    </row>
    <row r="271" spans="1:16" x14ac:dyDescent="0.3">
      <c r="A271" t="s">
        <v>301</v>
      </c>
      <c r="B271" t="s">
        <v>17</v>
      </c>
      <c r="C271" t="s">
        <v>18</v>
      </c>
      <c r="D271" t="s">
        <v>1034</v>
      </c>
      <c r="E271" t="s">
        <v>19</v>
      </c>
      <c r="F271" t="s">
        <v>18</v>
      </c>
      <c r="G271">
        <v>7992</v>
      </c>
      <c r="H271">
        <v>13995</v>
      </c>
      <c r="I271">
        <v>431</v>
      </c>
      <c r="J271">
        <v>120</v>
      </c>
      <c r="K271">
        <v>1</v>
      </c>
      <c r="L271" t="s">
        <v>29</v>
      </c>
      <c r="M271" t="s">
        <v>21</v>
      </c>
      <c r="N271">
        <v>21987</v>
      </c>
      <c r="O271" t="s">
        <v>25</v>
      </c>
      <c r="P271" t="s">
        <v>23</v>
      </c>
    </row>
    <row r="272" spans="1:16" x14ac:dyDescent="0.3">
      <c r="A272" t="s">
        <v>302</v>
      </c>
      <c r="B272" t="s">
        <v>17</v>
      </c>
      <c r="C272" t="s">
        <v>18</v>
      </c>
      <c r="D272" t="s">
        <v>1034</v>
      </c>
      <c r="E272" t="s">
        <v>19</v>
      </c>
      <c r="F272" t="s">
        <v>27</v>
      </c>
      <c r="G272">
        <v>5720</v>
      </c>
      <c r="H272">
        <v>2006</v>
      </c>
      <c r="I272">
        <v>175</v>
      </c>
      <c r="J272">
        <v>120</v>
      </c>
      <c r="K272">
        <v>0</v>
      </c>
      <c r="L272" t="s">
        <v>20</v>
      </c>
      <c r="M272" t="s">
        <v>21</v>
      </c>
      <c r="N272">
        <v>7726</v>
      </c>
      <c r="O272" t="s">
        <v>22</v>
      </c>
      <c r="P272" t="s">
        <v>32</v>
      </c>
    </row>
    <row r="273" spans="1:16" x14ac:dyDescent="0.3">
      <c r="A273" t="s">
        <v>303</v>
      </c>
      <c r="B273" t="s">
        <v>17</v>
      </c>
      <c r="C273" t="s">
        <v>27</v>
      </c>
      <c r="D273" t="s">
        <v>1035</v>
      </c>
      <c r="E273" t="s">
        <v>28</v>
      </c>
      <c r="F273" t="s">
        <v>18</v>
      </c>
      <c r="G273">
        <v>14041</v>
      </c>
      <c r="H273">
        <v>11693</v>
      </c>
      <c r="I273">
        <v>226</v>
      </c>
      <c r="J273">
        <v>240</v>
      </c>
      <c r="K273">
        <v>1</v>
      </c>
      <c r="L273" t="s">
        <v>20</v>
      </c>
      <c r="M273" t="s">
        <v>21</v>
      </c>
      <c r="N273">
        <v>25734</v>
      </c>
      <c r="O273" t="s">
        <v>25</v>
      </c>
      <c r="P273" t="s">
        <v>23</v>
      </c>
    </row>
    <row r="274" spans="1:16" x14ac:dyDescent="0.3">
      <c r="A274" t="s">
        <v>304</v>
      </c>
      <c r="B274" t="s">
        <v>31</v>
      </c>
      <c r="C274" t="s">
        <v>27</v>
      </c>
      <c r="D274" t="s">
        <v>1035</v>
      </c>
      <c r="E274" t="s">
        <v>19</v>
      </c>
      <c r="F274" t="s">
        <v>18</v>
      </c>
      <c r="G274">
        <v>21623</v>
      </c>
      <c r="H274">
        <v>0</v>
      </c>
      <c r="I274">
        <v>352</v>
      </c>
      <c r="J274">
        <v>300</v>
      </c>
      <c r="K274">
        <v>1</v>
      </c>
      <c r="L274" t="s">
        <v>34</v>
      </c>
      <c r="M274" t="s">
        <v>21</v>
      </c>
      <c r="N274">
        <v>21623</v>
      </c>
      <c r="O274" t="s">
        <v>25</v>
      </c>
      <c r="P274" t="s">
        <v>23</v>
      </c>
    </row>
    <row r="275" spans="1:16" x14ac:dyDescent="0.3">
      <c r="A275" t="s">
        <v>305</v>
      </c>
      <c r="B275" t="s">
        <v>31</v>
      </c>
      <c r="C275" t="s">
        <v>18</v>
      </c>
      <c r="D275" t="s">
        <v>1034</v>
      </c>
      <c r="E275" t="s">
        <v>28</v>
      </c>
      <c r="F275" t="s">
        <v>27</v>
      </c>
      <c r="G275">
        <v>5996</v>
      </c>
      <c r="H275">
        <v>0</v>
      </c>
      <c r="I275">
        <v>588</v>
      </c>
      <c r="J275">
        <v>180</v>
      </c>
      <c r="K275">
        <v>1</v>
      </c>
      <c r="L275" t="s">
        <v>34</v>
      </c>
      <c r="M275" t="s">
        <v>21</v>
      </c>
      <c r="N275">
        <v>5996</v>
      </c>
      <c r="O275" t="s">
        <v>22</v>
      </c>
      <c r="P275" t="s">
        <v>23</v>
      </c>
    </row>
    <row r="276" spans="1:16" x14ac:dyDescent="0.3">
      <c r="A276" t="s">
        <v>306</v>
      </c>
      <c r="B276" t="s">
        <v>17</v>
      </c>
      <c r="C276" t="s">
        <v>27</v>
      </c>
      <c r="D276" t="s">
        <v>1032</v>
      </c>
      <c r="E276" t="s">
        <v>28</v>
      </c>
      <c r="F276" t="s">
        <v>27</v>
      </c>
      <c r="G276">
        <v>12773</v>
      </c>
      <c r="H276">
        <v>9767</v>
      </c>
      <c r="I276">
        <v>447</v>
      </c>
      <c r="J276">
        <v>240</v>
      </c>
      <c r="K276">
        <v>1</v>
      </c>
      <c r="L276" t="s">
        <v>29</v>
      </c>
      <c r="M276" t="s">
        <v>21</v>
      </c>
      <c r="N276">
        <v>22540</v>
      </c>
      <c r="O276" t="s">
        <v>25</v>
      </c>
      <c r="P276" t="s">
        <v>23</v>
      </c>
    </row>
    <row r="277" spans="1:16" x14ac:dyDescent="0.3">
      <c r="A277" t="s">
        <v>307</v>
      </c>
      <c r="B277" t="s">
        <v>17</v>
      </c>
      <c r="C277" t="s">
        <v>18</v>
      </c>
      <c r="D277" t="s">
        <v>1032</v>
      </c>
      <c r="E277" t="s">
        <v>19</v>
      </c>
      <c r="F277" t="s">
        <v>27</v>
      </c>
      <c r="G277">
        <v>18848</v>
      </c>
      <c r="H277">
        <v>0</v>
      </c>
      <c r="I277">
        <v>213</v>
      </c>
      <c r="J277">
        <v>120</v>
      </c>
      <c r="K277">
        <v>1</v>
      </c>
      <c r="L277" t="s">
        <v>20</v>
      </c>
      <c r="M277" t="s">
        <v>21</v>
      </c>
      <c r="N277">
        <v>18848</v>
      </c>
      <c r="O277" t="s">
        <v>25</v>
      </c>
      <c r="P277" t="s">
        <v>23</v>
      </c>
    </row>
    <row r="278" spans="1:16" x14ac:dyDescent="0.3">
      <c r="A278" t="s">
        <v>308</v>
      </c>
      <c r="B278" t="s">
        <v>31</v>
      </c>
      <c r="C278" t="s">
        <v>18</v>
      </c>
      <c r="D278" t="s">
        <v>1033</v>
      </c>
      <c r="E278" t="s">
        <v>28</v>
      </c>
      <c r="F278" t="s">
        <v>27</v>
      </c>
      <c r="G278">
        <v>7192</v>
      </c>
      <c r="H278">
        <v>0</v>
      </c>
      <c r="I278">
        <v>656</v>
      </c>
      <c r="J278">
        <v>240</v>
      </c>
      <c r="K278">
        <v>0</v>
      </c>
      <c r="L278" t="s">
        <v>34</v>
      </c>
      <c r="M278" t="s">
        <v>53</v>
      </c>
      <c r="N278">
        <v>7192</v>
      </c>
      <c r="O278" t="s">
        <v>22</v>
      </c>
      <c r="P278" t="s">
        <v>32</v>
      </c>
    </row>
    <row r="279" spans="1:16" x14ac:dyDescent="0.3">
      <c r="A279" t="s">
        <v>309</v>
      </c>
      <c r="B279" t="s">
        <v>31</v>
      </c>
      <c r="C279" t="s">
        <v>18</v>
      </c>
      <c r="D279" t="s">
        <v>1032</v>
      </c>
      <c r="E279" t="s">
        <v>19</v>
      </c>
      <c r="F279" t="s">
        <v>18</v>
      </c>
      <c r="G279">
        <v>17629</v>
      </c>
      <c r="H279">
        <v>9382</v>
      </c>
      <c r="I279">
        <v>229</v>
      </c>
      <c r="J279">
        <v>300</v>
      </c>
      <c r="K279">
        <v>1</v>
      </c>
      <c r="L279" t="s">
        <v>20</v>
      </c>
      <c r="M279" t="s">
        <v>21</v>
      </c>
      <c r="N279">
        <v>27011</v>
      </c>
      <c r="O279" t="s">
        <v>25</v>
      </c>
      <c r="P279" t="s">
        <v>23</v>
      </c>
    </row>
    <row r="280" spans="1:16" x14ac:dyDescent="0.3">
      <c r="A280" t="s">
        <v>310</v>
      </c>
      <c r="B280" t="s">
        <v>17</v>
      </c>
      <c r="C280" t="s">
        <v>18</v>
      </c>
      <c r="D280" t="s">
        <v>1034</v>
      </c>
      <c r="E280" t="s">
        <v>28</v>
      </c>
      <c r="F280" t="s">
        <v>18</v>
      </c>
      <c r="G280">
        <v>12370</v>
      </c>
      <c r="H280">
        <v>0</v>
      </c>
      <c r="I280">
        <v>183</v>
      </c>
      <c r="J280">
        <v>240</v>
      </c>
      <c r="K280">
        <v>1</v>
      </c>
      <c r="L280" t="s">
        <v>29</v>
      </c>
      <c r="M280" t="s">
        <v>21</v>
      </c>
      <c r="N280">
        <v>12370</v>
      </c>
      <c r="O280" t="s">
        <v>25</v>
      </c>
      <c r="P280" t="s">
        <v>23</v>
      </c>
    </row>
    <row r="281" spans="1:16" x14ac:dyDescent="0.3">
      <c r="A281" t="s">
        <v>311</v>
      </c>
      <c r="B281" t="s">
        <v>17</v>
      </c>
      <c r="C281" t="s">
        <v>18</v>
      </c>
      <c r="D281" t="s">
        <v>1033</v>
      </c>
      <c r="E281" t="s">
        <v>19</v>
      </c>
      <c r="F281" t="s">
        <v>18</v>
      </c>
      <c r="G281">
        <v>18745</v>
      </c>
      <c r="H281">
        <v>14601</v>
      </c>
      <c r="I281">
        <v>124</v>
      </c>
      <c r="J281">
        <v>240</v>
      </c>
      <c r="K281">
        <v>1</v>
      </c>
      <c r="L281" t="s">
        <v>34</v>
      </c>
      <c r="M281" t="s">
        <v>21</v>
      </c>
      <c r="N281">
        <v>33346</v>
      </c>
      <c r="O281" t="s">
        <v>25</v>
      </c>
      <c r="P281" t="s">
        <v>23</v>
      </c>
    </row>
    <row r="282" spans="1:16" x14ac:dyDescent="0.3">
      <c r="A282" t="s">
        <v>312</v>
      </c>
      <c r="B282" t="s">
        <v>31</v>
      </c>
      <c r="C282" t="s">
        <v>18</v>
      </c>
      <c r="D282" t="s">
        <v>1032</v>
      </c>
      <c r="E282" t="s">
        <v>28</v>
      </c>
      <c r="F282" t="s">
        <v>27</v>
      </c>
      <c r="G282">
        <v>5971</v>
      </c>
      <c r="H282">
        <v>3080</v>
      </c>
      <c r="I282">
        <v>548</v>
      </c>
      <c r="J282">
        <v>240</v>
      </c>
      <c r="K282">
        <v>1</v>
      </c>
      <c r="L282" t="s">
        <v>34</v>
      </c>
      <c r="M282" t="s">
        <v>21</v>
      </c>
      <c r="N282">
        <v>9051</v>
      </c>
      <c r="O282" t="s">
        <v>22</v>
      </c>
      <c r="P282" t="s">
        <v>23</v>
      </c>
    </row>
    <row r="283" spans="1:16" x14ac:dyDescent="0.3">
      <c r="A283" t="s">
        <v>313</v>
      </c>
      <c r="B283" t="s">
        <v>31</v>
      </c>
      <c r="C283" t="s">
        <v>18</v>
      </c>
      <c r="D283" t="s">
        <v>1033</v>
      </c>
      <c r="E283" t="s">
        <v>28</v>
      </c>
      <c r="F283" t="s">
        <v>27</v>
      </c>
      <c r="G283">
        <v>24060</v>
      </c>
      <c r="H283">
        <v>0</v>
      </c>
      <c r="I283">
        <v>231</v>
      </c>
      <c r="J283">
        <v>120</v>
      </c>
      <c r="K283">
        <v>0</v>
      </c>
      <c r="L283" t="s">
        <v>34</v>
      </c>
      <c r="M283" t="s">
        <v>21</v>
      </c>
      <c r="N283">
        <v>24060</v>
      </c>
      <c r="O283" t="s">
        <v>25</v>
      </c>
      <c r="P283" t="s">
        <v>32</v>
      </c>
    </row>
    <row r="284" spans="1:16" x14ac:dyDescent="0.3">
      <c r="A284" t="s">
        <v>314</v>
      </c>
      <c r="B284" t="s">
        <v>31</v>
      </c>
      <c r="C284" t="s">
        <v>18</v>
      </c>
      <c r="D284" t="s">
        <v>1033</v>
      </c>
      <c r="E284" t="s">
        <v>28</v>
      </c>
      <c r="F284" t="s">
        <v>18</v>
      </c>
      <c r="G284">
        <v>22459</v>
      </c>
      <c r="H284">
        <v>0</v>
      </c>
      <c r="I284">
        <v>558</v>
      </c>
      <c r="J284">
        <v>180</v>
      </c>
      <c r="K284">
        <v>1</v>
      </c>
      <c r="L284" t="s">
        <v>20</v>
      </c>
      <c r="M284" t="s">
        <v>21</v>
      </c>
      <c r="N284">
        <v>22459</v>
      </c>
      <c r="O284" t="s">
        <v>25</v>
      </c>
      <c r="P284" t="s">
        <v>23</v>
      </c>
    </row>
    <row r="285" spans="1:16" x14ac:dyDescent="0.3">
      <c r="A285" t="s">
        <v>315</v>
      </c>
      <c r="B285" t="s">
        <v>17</v>
      </c>
      <c r="C285" t="s">
        <v>27</v>
      </c>
      <c r="D285" t="s">
        <v>1032</v>
      </c>
      <c r="E285" t="s">
        <v>19</v>
      </c>
      <c r="F285" t="s">
        <v>18</v>
      </c>
      <c r="G285">
        <v>24731</v>
      </c>
      <c r="H285">
        <v>11477</v>
      </c>
      <c r="I285">
        <v>507</v>
      </c>
      <c r="J285">
        <v>120</v>
      </c>
      <c r="K285">
        <v>1</v>
      </c>
      <c r="L285" t="s">
        <v>20</v>
      </c>
      <c r="M285" t="s">
        <v>21</v>
      </c>
      <c r="N285">
        <v>36208</v>
      </c>
      <c r="O285" t="s">
        <v>25</v>
      </c>
      <c r="P285" t="s">
        <v>23</v>
      </c>
    </row>
    <row r="286" spans="1:16" x14ac:dyDescent="0.3">
      <c r="A286" t="s">
        <v>316</v>
      </c>
      <c r="B286" t="s">
        <v>17</v>
      </c>
      <c r="C286" t="s">
        <v>27</v>
      </c>
      <c r="D286" t="s">
        <v>1032</v>
      </c>
      <c r="E286" t="s">
        <v>19</v>
      </c>
      <c r="F286" t="s">
        <v>18</v>
      </c>
      <c r="G286">
        <v>3077</v>
      </c>
      <c r="H286">
        <v>6823</v>
      </c>
      <c r="I286">
        <v>479</v>
      </c>
      <c r="J286">
        <v>180</v>
      </c>
      <c r="K286">
        <v>0</v>
      </c>
      <c r="L286" t="s">
        <v>29</v>
      </c>
      <c r="M286" t="s">
        <v>21</v>
      </c>
      <c r="N286">
        <v>9900</v>
      </c>
      <c r="O286" t="s">
        <v>22</v>
      </c>
      <c r="P286" t="s">
        <v>32</v>
      </c>
    </row>
    <row r="287" spans="1:16" x14ac:dyDescent="0.3">
      <c r="A287" t="s">
        <v>317</v>
      </c>
      <c r="B287" t="s">
        <v>31</v>
      </c>
      <c r="C287" t="s">
        <v>27</v>
      </c>
      <c r="D287" t="s">
        <v>1035</v>
      </c>
      <c r="E287" t="s">
        <v>19</v>
      </c>
      <c r="F287" t="s">
        <v>27</v>
      </c>
      <c r="G287">
        <v>20441</v>
      </c>
      <c r="H287">
        <v>0</v>
      </c>
      <c r="I287">
        <v>216</v>
      </c>
      <c r="J287">
        <v>300</v>
      </c>
      <c r="K287">
        <v>1</v>
      </c>
      <c r="L287" t="s">
        <v>20</v>
      </c>
      <c r="M287" t="s">
        <v>21</v>
      </c>
      <c r="N287">
        <v>20441</v>
      </c>
      <c r="O287" t="s">
        <v>25</v>
      </c>
      <c r="P287" t="s">
        <v>23</v>
      </c>
    </row>
    <row r="288" spans="1:16" x14ac:dyDescent="0.3">
      <c r="A288" t="s">
        <v>318</v>
      </c>
      <c r="B288" t="s">
        <v>31</v>
      </c>
      <c r="C288" t="s">
        <v>18</v>
      </c>
      <c r="D288" t="s">
        <v>1032</v>
      </c>
      <c r="E288" t="s">
        <v>28</v>
      </c>
      <c r="F288" t="s">
        <v>18</v>
      </c>
      <c r="G288">
        <v>3931</v>
      </c>
      <c r="H288">
        <v>0</v>
      </c>
      <c r="I288">
        <v>434</v>
      </c>
      <c r="J288">
        <v>180</v>
      </c>
      <c r="K288">
        <v>1</v>
      </c>
      <c r="L288" t="s">
        <v>34</v>
      </c>
      <c r="M288" t="s">
        <v>53</v>
      </c>
      <c r="N288">
        <v>3931</v>
      </c>
      <c r="O288" t="s">
        <v>35</v>
      </c>
      <c r="P288" t="s">
        <v>23</v>
      </c>
    </row>
    <row r="289" spans="1:16" x14ac:dyDescent="0.3">
      <c r="A289" t="s">
        <v>319</v>
      </c>
      <c r="B289" t="s">
        <v>17</v>
      </c>
      <c r="C289" t="s">
        <v>27</v>
      </c>
      <c r="D289" t="s">
        <v>1035</v>
      </c>
      <c r="E289" t="s">
        <v>19</v>
      </c>
      <c r="F289" t="s">
        <v>27</v>
      </c>
      <c r="G289">
        <v>22918</v>
      </c>
      <c r="H289">
        <v>3203</v>
      </c>
      <c r="I289">
        <v>210</v>
      </c>
      <c r="J289">
        <v>120</v>
      </c>
      <c r="K289">
        <v>1</v>
      </c>
      <c r="L289" t="s">
        <v>20</v>
      </c>
      <c r="M289" t="s">
        <v>21</v>
      </c>
      <c r="N289">
        <v>26121</v>
      </c>
      <c r="O289" t="s">
        <v>25</v>
      </c>
      <c r="P289" t="s">
        <v>23</v>
      </c>
    </row>
    <row r="290" spans="1:16" x14ac:dyDescent="0.3">
      <c r="A290" t="s">
        <v>320</v>
      </c>
      <c r="B290" t="s">
        <v>17</v>
      </c>
      <c r="C290" t="s">
        <v>27</v>
      </c>
      <c r="D290" t="s">
        <v>1032</v>
      </c>
      <c r="E290" t="s">
        <v>28</v>
      </c>
      <c r="F290" t="s">
        <v>27</v>
      </c>
      <c r="G290">
        <v>9283</v>
      </c>
      <c r="H290">
        <v>0</v>
      </c>
      <c r="I290">
        <v>452</v>
      </c>
      <c r="J290">
        <v>360</v>
      </c>
      <c r="K290">
        <v>1</v>
      </c>
      <c r="L290" t="s">
        <v>29</v>
      </c>
      <c r="M290" t="s">
        <v>21</v>
      </c>
      <c r="N290">
        <v>9283</v>
      </c>
      <c r="O290" t="s">
        <v>22</v>
      </c>
      <c r="P290" t="s">
        <v>23</v>
      </c>
    </row>
    <row r="291" spans="1:16" x14ac:dyDescent="0.3">
      <c r="A291" t="s">
        <v>321</v>
      </c>
      <c r="B291" t="s">
        <v>17</v>
      </c>
      <c r="C291" t="s">
        <v>18</v>
      </c>
      <c r="D291" t="s">
        <v>1032</v>
      </c>
      <c r="E291" t="s">
        <v>19</v>
      </c>
      <c r="F291" t="s">
        <v>27</v>
      </c>
      <c r="G291">
        <v>4371</v>
      </c>
      <c r="H291">
        <v>5325</v>
      </c>
      <c r="I291">
        <v>254</v>
      </c>
      <c r="J291">
        <v>120</v>
      </c>
      <c r="K291">
        <v>1</v>
      </c>
      <c r="L291" t="s">
        <v>20</v>
      </c>
      <c r="M291" t="s">
        <v>21</v>
      </c>
      <c r="N291">
        <v>9696</v>
      </c>
      <c r="O291" t="s">
        <v>22</v>
      </c>
      <c r="P291" t="s">
        <v>23</v>
      </c>
    </row>
    <row r="292" spans="1:16" x14ac:dyDescent="0.3">
      <c r="A292" t="s">
        <v>322</v>
      </c>
      <c r="B292" t="s">
        <v>31</v>
      </c>
      <c r="C292" t="s">
        <v>18</v>
      </c>
      <c r="D292" t="s">
        <v>1035</v>
      </c>
      <c r="E292" t="s">
        <v>19</v>
      </c>
      <c r="F292" t="s">
        <v>27</v>
      </c>
      <c r="G292">
        <v>14524</v>
      </c>
      <c r="H292">
        <v>8215</v>
      </c>
      <c r="I292">
        <v>321</v>
      </c>
      <c r="J292">
        <v>120</v>
      </c>
      <c r="K292">
        <v>1</v>
      </c>
      <c r="L292" t="s">
        <v>29</v>
      </c>
      <c r="M292" t="s">
        <v>21</v>
      </c>
      <c r="N292">
        <v>22739</v>
      </c>
      <c r="O292" t="s">
        <v>25</v>
      </c>
      <c r="P292" t="s">
        <v>23</v>
      </c>
    </row>
    <row r="293" spans="1:16" x14ac:dyDescent="0.3">
      <c r="A293" t="s">
        <v>323</v>
      </c>
      <c r="B293" t="s">
        <v>17</v>
      </c>
      <c r="C293" t="s">
        <v>27</v>
      </c>
      <c r="D293" t="s">
        <v>1035</v>
      </c>
      <c r="E293" t="s">
        <v>28</v>
      </c>
      <c r="F293" t="s">
        <v>18</v>
      </c>
      <c r="G293">
        <v>16107</v>
      </c>
      <c r="H293">
        <v>1231</v>
      </c>
      <c r="I293">
        <v>500</v>
      </c>
      <c r="J293">
        <v>300</v>
      </c>
      <c r="K293">
        <v>1</v>
      </c>
      <c r="L293" t="s">
        <v>29</v>
      </c>
      <c r="M293" t="s">
        <v>21</v>
      </c>
      <c r="N293">
        <v>17338</v>
      </c>
      <c r="O293" t="s">
        <v>25</v>
      </c>
      <c r="P293" t="s">
        <v>23</v>
      </c>
    </row>
    <row r="294" spans="1:16" x14ac:dyDescent="0.3">
      <c r="A294" t="s">
        <v>324</v>
      </c>
      <c r="B294" t="s">
        <v>17</v>
      </c>
      <c r="C294" t="s">
        <v>18</v>
      </c>
      <c r="D294" t="s">
        <v>1034</v>
      </c>
      <c r="E294" t="s">
        <v>19</v>
      </c>
      <c r="F294" t="s">
        <v>27</v>
      </c>
      <c r="G294">
        <v>19242</v>
      </c>
      <c r="H294">
        <v>0</v>
      </c>
      <c r="I294">
        <v>616</v>
      </c>
      <c r="J294">
        <v>120</v>
      </c>
      <c r="K294">
        <v>0</v>
      </c>
      <c r="L294" t="s">
        <v>34</v>
      </c>
      <c r="M294" t="s">
        <v>21</v>
      </c>
      <c r="N294">
        <v>19242</v>
      </c>
      <c r="O294" t="s">
        <v>25</v>
      </c>
      <c r="P294" t="s">
        <v>32</v>
      </c>
    </row>
    <row r="295" spans="1:16" x14ac:dyDescent="0.3">
      <c r="A295" t="s">
        <v>325</v>
      </c>
      <c r="B295" t="s">
        <v>31</v>
      </c>
      <c r="C295" t="s">
        <v>27</v>
      </c>
      <c r="D295" t="s">
        <v>1033</v>
      </c>
      <c r="E295" t="s">
        <v>28</v>
      </c>
      <c r="F295" t="s">
        <v>27</v>
      </c>
      <c r="G295">
        <v>4087</v>
      </c>
      <c r="H295">
        <v>0</v>
      </c>
      <c r="I295">
        <v>564</v>
      </c>
      <c r="J295">
        <v>360</v>
      </c>
      <c r="K295">
        <v>0</v>
      </c>
      <c r="L295" t="s">
        <v>34</v>
      </c>
      <c r="M295" t="s">
        <v>53</v>
      </c>
      <c r="N295">
        <v>4087</v>
      </c>
      <c r="O295" t="s">
        <v>35</v>
      </c>
      <c r="P295" t="s">
        <v>32</v>
      </c>
    </row>
    <row r="296" spans="1:16" x14ac:dyDescent="0.3">
      <c r="A296" t="s">
        <v>326</v>
      </c>
      <c r="B296" t="s">
        <v>17</v>
      </c>
      <c r="C296" t="s">
        <v>18</v>
      </c>
      <c r="D296" t="s">
        <v>1035</v>
      </c>
      <c r="E296" t="s">
        <v>19</v>
      </c>
      <c r="F296" t="s">
        <v>18</v>
      </c>
      <c r="G296">
        <v>8443</v>
      </c>
      <c r="H296">
        <v>0</v>
      </c>
      <c r="I296">
        <v>179</v>
      </c>
      <c r="J296">
        <v>120</v>
      </c>
      <c r="K296">
        <v>1</v>
      </c>
      <c r="L296" t="s">
        <v>34</v>
      </c>
      <c r="M296" t="s">
        <v>21</v>
      </c>
      <c r="N296">
        <v>8443</v>
      </c>
      <c r="O296" t="s">
        <v>22</v>
      </c>
      <c r="P296" t="s">
        <v>23</v>
      </c>
    </row>
    <row r="297" spans="1:16" x14ac:dyDescent="0.3">
      <c r="A297" t="s">
        <v>327</v>
      </c>
      <c r="B297" t="s">
        <v>31</v>
      </c>
      <c r="C297" t="s">
        <v>18</v>
      </c>
      <c r="D297" t="s">
        <v>1033</v>
      </c>
      <c r="E297" t="s">
        <v>28</v>
      </c>
      <c r="F297" t="s">
        <v>27</v>
      </c>
      <c r="G297">
        <v>3695</v>
      </c>
      <c r="H297">
        <v>1925</v>
      </c>
      <c r="I297">
        <v>619</v>
      </c>
      <c r="J297">
        <v>300</v>
      </c>
      <c r="K297">
        <v>1</v>
      </c>
      <c r="L297" t="s">
        <v>29</v>
      </c>
      <c r="M297" t="s">
        <v>21</v>
      </c>
      <c r="N297">
        <v>5620</v>
      </c>
      <c r="O297" t="s">
        <v>22</v>
      </c>
      <c r="P297" t="s">
        <v>23</v>
      </c>
    </row>
    <row r="298" spans="1:16" x14ac:dyDescent="0.3">
      <c r="A298" t="s">
        <v>328</v>
      </c>
      <c r="B298" t="s">
        <v>31</v>
      </c>
      <c r="C298" t="s">
        <v>18</v>
      </c>
      <c r="D298" t="s">
        <v>1035</v>
      </c>
      <c r="E298" t="s">
        <v>19</v>
      </c>
      <c r="F298" t="s">
        <v>27</v>
      </c>
      <c r="G298">
        <v>6403</v>
      </c>
      <c r="H298">
        <v>0</v>
      </c>
      <c r="I298">
        <v>158</v>
      </c>
      <c r="J298">
        <v>360</v>
      </c>
      <c r="K298">
        <v>1</v>
      </c>
      <c r="L298" t="s">
        <v>29</v>
      </c>
      <c r="M298" t="s">
        <v>21</v>
      </c>
      <c r="N298">
        <v>6403</v>
      </c>
      <c r="O298" t="s">
        <v>22</v>
      </c>
      <c r="P298" t="s">
        <v>23</v>
      </c>
    </row>
    <row r="299" spans="1:16" x14ac:dyDescent="0.3">
      <c r="A299" t="s">
        <v>329</v>
      </c>
      <c r="B299" t="s">
        <v>31</v>
      </c>
      <c r="C299" t="s">
        <v>27</v>
      </c>
      <c r="D299" t="s">
        <v>1032</v>
      </c>
      <c r="E299" t="s">
        <v>28</v>
      </c>
      <c r="F299" t="s">
        <v>27</v>
      </c>
      <c r="G299">
        <v>20244</v>
      </c>
      <c r="H299">
        <v>10477</v>
      </c>
      <c r="I299">
        <v>88</v>
      </c>
      <c r="J299">
        <v>180</v>
      </c>
      <c r="K299">
        <v>1</v>
      </c>
      <c r="L299" t="s">
        <v>20</v>
      </c>
      <c r="M299" t="s">
        <v>21</v>
      </c>
      <c r="N299">
        <v>30721</v>
      </c>
      <c r="O299" t="s">
        <v>25</v>
      </c>
      <c r="P299" t="s">
        <v>23</v>
      </c>
    </row>
    <row r="300" spans="1:16" x14ac:dyDescent="0.3">
      <c r="A300" t="s">
        <v>330</v>
      </c>
      <c r="B300" t="s">
        <v>31</v>
      </c>
      <c r="C300" t="s">
        <v>18</v>
      </c>
      <c r="D300" t="s">
        <v>1035</v>
      </c>
      <c r="E300" t="s">
        <v>28</v>
      </c>
      <c r="F300" t="s">
        <v>18</v>
      </c>
      <c r="G300">
        <v>3115</v>
      </c>
      <c r="H300">
        <v>12718</v>
      </c>
      <c r="I300">
        <v>325</v>
      </c>
      <c r="J300">
        <v>240</v>
      </c>
      <c r="K300">
        <v>1</v>
      </c>
      <c r="L300" t="s">
        <v>29</v>
      </c>
      <c r="M300" t="s">
        <v>21</v>
      </c>
      <c r="N300">
        <v>15833</v>
      </c>
      <c r="O300" t="s">
        <v>25</v>
      </c>
      <c r="P300" t="s">
        <v>23</v>
      </c>
    </row>
    <row r="301" spans="1:16" x14ac:dyDescent="0.3">
      <c r="A301" t="s">
        <v>331</v>
      </c>
      <c r="B301" t="s">
        <v>31</v>
      </c>
      <c r="C301" t="s">
        <v>27</v>
      </c>
      <c r="D301" t="s">
        <v>1035</v>
      </c>
      <c r="E301" t="s">
        <v>19</v>
      </c>
      <c r="F301" t="s">
        <v>18</v>
      </c>
      <c r="G301">
        <v>5903</v>
      </c>
      <c r="H301">
        <v>5423</v>
      </c>
      <c r="I301">
        <v>378</v>
      </c>
      <c r="J301">
        <v>240</v>
      </c>
      <c r="K301">
        <v>1</v>
      </c>
      <c r="L301" t="s">
        <v>34</v>
      </c>
      <c r="M301" t="s">
        <v>21</v>
      </c>
      <c r="N301">
        <v>11326</v>
      </c>
      <c r="O301" t="s">
        <v>25</v>
      </c>
      <c r="P301" t="s">
        <v>23</v>
      </c>
    </row>
    <row r="302" spans="1:16" x14ac:dyDescent="0.3">
      <c r="A302" t="s">
        <v>332</v>
      </c>
      <c r="B302" t="s">
        <v>17</v>
      </c>
      <c r="C302" t="s">
        <v>18</v>
      </c>
      <c r="D302" t="s">
        <v>1035</v>
      </c>
      <c r="E302" t="s">
        <v>19</v>
      </c>
      <c r="F302" t="s">
        <v>27</v>
      </c>
      <c r="G302">
        <v>17374</v>
      </c>
      <c r="H302">
        <v>12943</v>
      </c>
      <c r="I302">
        <v>107</v>
      </c>
      <c r="J302">
        <v>360</v>
      </c>
      <c r="K302">
        <v>0</v>
      </c>
      <c r="L302" t="s">
        <v>20</v>
      </c>
      <c r="M302" t="s">
        <v>21</v>
      </c>
      <c r="N302">
        <v>30317</v>
      </c>
      <c r="O302" t="s">
        <v>25</v>
      </c>
      <c r="P302" t="s">
        <v>32</v>
      </c>
    </row>
    <row r="303" spans="1:16" x14ac:dyDescent="0.3">
      <c r="A303" t="s">
        <v>333</v>
      </c>
      <c r="B303" t="s">
        <v>31</v>
      </c>
      <c r="C303" t="s">
        <v>27</v>
      </c>
      <c r="D303" t="s">
        <v>1033</v>
      </c>
      <c r="E303" t="s">
        <v>19</v>
      </c>
      <c r="F303" t="s">
        <v>18</v>
      </c>
      <c r="G303">
        <v>7816</v>
      </c>
      <c r="H303">
        <v>0</v>
      </c>
      <c r="I303">
        <v>109</v>
      </c>
      <c r="J303">
        <v>180</v>
      </c>
      <c r="K303">
        <v>1</v>
      </c>
      <c r="L303" t="s">
        <v>20</v>
      </c>
      <c r="M303" t="s">
        <v>21</v>
      </c>
      <c r="N303">
        <v>7816</v>
      </c>
      <c r="O303" t="s">
        <v>22</v>
      </c>
      <c r="P303" t="s">
        <v>23</v>
      </c>
    </row>
    <row r="304" spans="1:16" x14ac:dyDescent="0.3">
      <c r="A304" t="s">
        <v>334</v>
      </c>
      <c r="B304" t="s">
        <v>31</v>
      </c>
      <c r="C304" t="s">
        <v>18</v>
      </c>
      <c r="D304" t="s">
        <v>1032</v>
      </c>
      <c r="E304" t="s">
        <v>28</v>
      </c>
      <c r="F304" t="s">
        <v>27</v>
      </c>
      <c r="G304">
        <v>18051</v>
      </c>
      <c r="H304">
        <v>0</v>
      </c>
      <c r="I304">
        <v>81</v>
      </c>
      <c r="J304">
        <v>180</v>
      </c>
      <c r="K304">
        <v>1</v>
      </c>
      <c r="L304" t="s">
        <v>34</v>
      </c>
      <c r="M304" t="s">
        <v>21</v>
      </c>
      <c r="N304">
        <v>18051</v>
      </c>
      <c r="O304" t="s">
        <v>25</v>
      </c>
      <c r="P304" t="s">
        <v>23</v>
      </c>
    </row>
    <row r="305" spans="1:16" x14ac:dyDescent="0.3">
      <c r="A305" t="s">
        <v>335</v>
      </c>
      <c r="B305" t="s">
        <v>31</v>
      </c>
      <c r="C305" t="s">
        <v>18</v>
      </c>
      <c r="D305" t="s">
        <v>1035</v>
      </c>
      <c r="E305" t="s">
        <v>28</v>
      </c>
      <c r="F305" t="s">
        <v>27</v>
      </c>
      <c r="G305">
        <v>6858</v>
      </c>
      <c r="H305">
        <v>14224</v>
      </c>
      <c r="I305">
        <v>142</v>
      </c>
      <c r="J305">
        <v>240</v>
      </c>
      <c r="K305">
        <v>1</v>
      </c>
      <c r="L305" t="s">
        <v>20</v>
      </c>
      <c r="M305" t="s">
        <v>21</v>
      </c>
      <c r="N305">
        <v>21082</v>
      </c>
      <c r="O305" t="s">
        <v>25</v>
      </c>
      <c r="P305" t="s">
        <v>23</v>
      </c>
    </row>
    <row r="306" spans="1:16" x14ac:dyDescent="0.3">
      <c r="A306" t="s">
        <v>336</v>
      </c>
      <c r="B306" t="s">
        <v>17</v>
      </c>
      <c r="C306" t="s">
        <v>18</v>
      </c>
      <c r="D306" t="s">
        <v>1033</v>
      </c>
      <c r="E306" t="s">
        <v>19</v>
      </c>
      <c r="F306" t="s">
        <v>18</v>
      </c>
      <c r="G306">
        <v>10317</v>
      </c>
      <c r="H306">
        <v>11175</v>
      </c>
      <c r="I306">
        <v>575</v>
      </c>
      <c r="J306">
        <v>120</v>
      </c>
      <c r="K306">
        <v>0</v>
      </c>
      <c r="L306" t="s">
        <v>34</v>
      </c>
      <c r="M306" t="s">
        <v>21</v>
      </c>
      <c r="N306">
        <v>21492</v>
      </c>
      <c r="O306" t="s">
        <v>25</v>
      </c>
      <c r="P306" t="s">
        <v>32</v>
      </c>
    </row>
    <row r="307" spans="1:16" x14ac:dyDescent="0.3">
      <c r="A307" t="s">
        <v>337</v>
      </c>
      <c r="B307" t="s">
        <v>17</v>
      </c>
      <c r="C307" t="s">
        <v>27</v>
      </c>
      <c r="D307" t="s">
        <v>1033</v>
      </c>
      <c r="E307" t="s">
        <v>19</v>
      </c>
      <c r="F307" t="s">
        <v>18</v>
      </c>
      <c r="G307">
        <v>8832</v>
      </c>
      <c r="H307">
        <v>4635</v>
      </c>
      <c r="I307">
        <v>331</v>
      </c>
      <c r="J307">
        <v>300</v>
      </c>
      <c r="K307">
        <v>0</v>
      </c>
      <c r="L307" t="s">
        <v>29</v>
      </c>
      <c r="M307" t="s">
        <v>21</v>
      </c>
      <c r="N307">
        <v>13467</v>
      </c>
      <c r="O307" t="s">
        <v>25</v>
      </c>
      <c r="P307" t="s">
        <v>32</v>
      </c>
    </row>
    <row r="308" spans="1:16" x14ac:dyDescent="0.3">
      <c r="A308" t="s">
        <v>338</v>
      </c>
      <c r="B308" t="s">
        <v>31</v>
      </c>
      <c r="C308" t="s">
        <v>27</v>
      </c>
      <c r="D308" t="s">
        <v>1033</v>
      </c>
      <c r="E308" t="s">
        <v>28</v>
      </c>
      <c r="F308" t="s">
        <v>27</v>
      </c>
      <c r="G308">
        <v>23690</v>
      </c>
      <c r="H308">
        <v>9030</v>
      </c>
      <c r="I308">
        <v>648</v>
      </c>
      <c r="J308">
        <v>120</v>
      </c>
      <c r="K308">
        <v>1</v>
      </c>
      <c r="L308" t="s">
        <v>34</v>
      </c>
      <c r="M308" t="s">
        <v>21</v>
      </c>
      <c r="N308">
        <v>32720</v>
      </c>
      <c r="O308" t="s">
        <v>25</v>
      </c>
      <c r="P308" t="s">
        <v>23</v>
      </c>
    </row>
    <row r="309" spans="1:16" x14ac:dyDescent="0.3">
      <c r="A309" t="s">
        <v>339</v>
      </c>
      <c r="B309" t="s">
        <v>31</v>
      </c>
      <c r="C309" t="s">
        <v>27</v>
      </c>
      <c r="D309" t="s">
        <v>1032</v>
      </c>
      <c r="E309" t="s">
        <v>19</v>
      </c>
      <c r="F309" t="s">
        <v>27</v>
      </c>
      <c r="G309">
        <v>3591</v>
      </c>
      <c r="H309">
        <v>6009</v>
      </c>
      <c r="I309">
        <v>382</v>
      </c>
      <c r="J309">
        <v>240</v>
      </c>
      <c r="K309">
        <v>1</v>
      </c>
      <c r="L309" t="s">
        <v>34</v>
      </c>
      <c r="M309" t="s">
        <v>21</v>
      </c>
      <c r="N309">
        <v>9600</v>
      </c>
      <c r="O309" t="s">
        <v>22</v>
      </c>
      <c r="P309" t="s">
        <v>23</v>
      </c>
    </row>
    <row r="310" spans="1:16" x14ac:dyDescent="0.3">
      <c r="A310" t="s">
        <v>340</v>
      </c>
      <c r="B310" t="s">
        <v>31</v>
      </c>
      <c r="C310" t="s">
        <v>18</v>
      </c>
      <c r="D310" t="s">
        <v>1033</v>
      </c>
      <c r="E310" t="s">
        <v>19</v>
      </c>
      <c r="F310" t="s">
        <v>18</v>
      </c>
      <c r="G310">
        <v>21161</v>
      </c>
      <c r="H310">
        <v>7120</v>
      </c>
      <c r="I310">
        <v>193</v>
      </c>
      <c r="J310">
        <v>120</v>
      </c>
      <c r="K310">
        <v>1</v>
      </c>
      <c r="L310" t="s">
        <v>29</v>
      </c>
      <c r="M310" t="s">
        <v>21</v>
      </c>
      <c r="N310">
        <v>28281</v>
      </c>
      <c r="O310" t="s">
        <v>25</v>
      </c>
      <c r="P310" t="s">
        <v>23</v>
      </c>
    </row>
    <row r="311" spans="1:16" x14ac:dyDescent="0.3">
      <c r="A311" t="s">
        <v>341</v>
      </c>
      <c r="B311" t="s">
        <v>31</v>
      </c>
      <c r="C311" t="s">
        <v>27</v>
      </c>
      <c r="D311" t="s">
        <v>1035</v>
      </c>
      <c r="E311" t="s">
        <v>28</v>
      </c>
      <c r="F311" t="s">
        <v>18</v>
      </c>
      <c r="G311">
        <v>20604</v>
      </c>
      <c r="H311">
        <v>0</v>
      </c>
      <c r="I311">
        <v>401</v>
      </c>
      <c r="J311">
        <v>180</v>
      </c>
      <c r="K311">
        <v>1</v>
      </c>
      <c r="L311" t="s">
        <v>34</v>
      </c>
      <c r="M311" t="s">
        <v>21</v>
      </c>
      <c r="N311">
        <v>20604</v>
      </c>
      <c r="O311" t="s">
        <v>25</v>
      </c>
      <c r="P311" t="s">
        <v>23</v>
      </c>
    </row>
    <row r="312" spans="1:16" x14ac:dyDescent="0.3">
      <c r="A312" t="s">
        <v>342</v>
      </c>
      <c r="B312" t="s">
        <v>31</v>
      </c>
      <c r="C312" t="s">
        <v>27</v>
      </c>
      <c r="D312" t="s">
        <v>1032</v>
      </c>
      <c r="E312" t="s">
        <v>19</v>
      </c>
      <c r="F312" t="s">
        <v>18</v>
      </c>
      <c r="G312">
        <v>11126</v>
      </c>
      <c r="H312">
        <v>2099</v>
      </c>
      <c r="I312">
        <v>181</v>
      </c>
      <c r="J312">
        <v>240</v>
      </c>
      <c r="K312">
        <v>1</v>
      </c>
      <c r="L312" t="s">
        <v>34</v>
      </c>
      <c r="M312" t="s">
        <v>21</v>
      </c>
      <c r="N312">
        <v>13225</v>
      </c>
      <c r="O312" t="s">
        <v>25</v>
      </c>
      <c r="P312" t="s">
        <v>23</v>
      </c>
    </row>
    <row r="313" spans="1:16" x14ac:dyDescent="0.3">
      <c r="A313" t="s">
        <v>343</v>
      </c>
      <c r="B313" t="s">
        <v>17</v>
      </c>
      <c r="C313" t="s">
        <v>27</v>
      </c>
      <c r="D313" t="s">
        <v>1034</v>
      </c>
      <c r="E313" t="s">
        <v>19</v>
      </c>
      <c r="F313" t="s">
        <v>27</v>
      </c>
      <c r="G313">
        <v>8818</v>
      </c>
      <c r="H313">
        <v>12693</v>
      </c>
      <c r="I313">
        <v>480</v>
      </c>
      <c r="J313">
        <v>240</v>
      </c>
      <c r="K313">
        <v>1</v>
      </c>
      <c r="L313" t="s">
        <v>34</v>
      </c>
      <c r="M313" t="s">
        <v>21</v>
      </c>
      <c r="N313">
        <v>21511</v>
      </c>
      <c r="O313" t="s">
        <v>25</v>
      </c>
      <c r="P313" t="s">
        <v>23</v>
      </c>
    </row>
    <row r="314" spans="1:16" x14ac:dyDescent="0.3">
      <c r="A314" t="s">
        <v>344</v>
      </c>
      <c r="B314" t="s">
        <v>31</v>
      </c>
      <c r="C314" t="s">
        <v>27</v>
      </c>
      <c r="D314" t="s">
        <v>1034</v>
      </c>
      <c r="E314" t="s">
        <v>28</v>
      </c>
      <c r="F314" t="s">
        <v>18</v>
      </c>
      <c r="G314">
        <v>22287</v>
      </c>
      <c r="H314">
        <v>0</v>
      </c>
      <c r="I314">
        <v>533</v>
      </c>
      <c r="J314">
        <v>180</v>
      </c>
      <c r="K314">
        <v>1</v>
      </c>
      <c r="L314" t="s">
        <v>34</v>
      </c>
      <c r="M314" t="s">
        <v>21</v>
      </c>
      <c r="N314">
        <v>22287</v>
      </c>
      <c r="O314" t="s">
        <v>25</v>
      </c>
      <c r="P314" t="s">
        <v>23</v>
      </c>
    </row>
    <row r="315" spans="1:16" x14ac:dyDescent="0.3">
      <c r="A315" t="s">
        <v>345</v>
      </c>
      <c r="B315" t="s">
        <v>31</v>
      </c>
      <c r="C315" t="s">
        <v>27</v>
      </c>
      <c r="D315" t="s">
        <v>1035</v>
      </c>
      <c r="E315" t="s">
        <v>19</v>
      </c>
      <c r="F315" t="s">
        <v>18</v>
      </c>
      <c r="G315">
        <v>6001</v>
      </c>
      <c r="H315">
        <v>3781</v>
      </c>
      <c r="I315">
        <v>469</v>
      </c>
      <c r="J315">
        <v>360</v>
      </c>
      <c r="K315">
        <v>0</v>
      </c>
      <c r="L315" t="s">
        <v>29</v>
      </c>
      <c r="M315" t="s">
        <v>21</v>
      </c>
      <c r="N315">
        <v>9782</v>
      </c>
      <c r="O315" t="s">
        <v>22</v>
      </c>
      <c r="P315" t="s">
        <v>32</v>
      </c>
    </row>
    <row r="316" spans="1:16" x14ac:dyDescent="0.3">
      <c r="A316" t="s">
        <v>346</v>
      </c>
      <c r="B316" t="s">
        <v>17</v>
      </c>
      <c r="C316" t="s">
        <v>27</v>
      </c>
      <c r="D316" t="s">
        <v>1033</v>
      </c>
      <c r="E316" t="s">
        <v>19</v>
      </c>
      <c r="F316" t="s">
        <v>27</v>
      </c>
      <c r="G316">
        <v>12399</v>
      </c>
      <c r="H316">
        <v>0</v>
      </c>
      <c r="I316">
        <v>370</v>
      </c>
      <c r="J316">
        <v>120</v>
      </c>
      <c r="K316">
        <v>1</v>
      </c>
      <c r="L316" t="s">
        <v>29</v>
      </c>
      <c r="M316" t="s">
        <v>21</v>
      </c>
      <c r="N316">
        <v>12399</v>
      </c>
      <c r="O316" t="s">
        <v>25</v>
      </c>
      <c r="P316" t="s">
        <v>23</v>
      </c>
    </row>
    <row r="317" spans="1:16" x14ac:dyDescent="0.3">
      <c r="A317" t="s">
        <v>347</v>
      </c>
      <c r="B317" t="s">
        <v>17</v>
      </c>
      <c r="C317" t="s">
        <v>18</v>
      </c>
      <c r="D317" t="s">
        <v>1033</v>
      </c>
      <c r="E317" t="s">
        <v>28</v>
      </c>
      <c r="F317" t="s">
        <v>18</v>
      </c>
      <c r="G317">
        <v>5740</v>
      </c>
      <c r="H317">
        <v>10567</v>
      </c>
      <c r="I317">
        <v>698</v>
      </c>
      <c r="J317">
        <v>300</v>
      </c>
      <c r="K317">
        <v>1</v>
      </c>
      <c r="L317" t="s">
        <v>29</v>
      </c>
      <c r="M317" t="s">
        <v>21</v>
      </c>
      <c r="N317">
        <v>16307</v>
      </c>
      <c r="O317" t="s">
        <v>25</v>
      </c>
      <c r="P317" t="s">
        <v>23</v>
      </c>
    </row>
    <row r="318" spans="1:16" x14ac:dyDescent="0.3">
      <c r="A318" t="s">
        <v>348</v>
      </c>
      <c r="B318" t="s">
        <v>31</v>
      </c>
      <c r="C318" t="s">
        <v>18</v>
      </c>
      <c r="D318" t="s">
        <v>1034</v>
      </c>
      <c r="E318" t="s">
        <v>19</v>
      </c>
      <c r="F318" t="s">
        <v>27</v>
      </c>
      <c r="G318">
        <v>1961</v>
      </c>
      <c r="H318">
        <v>0</v>
      </c>
      <c r="I318">
        <v>68</v>
      </c>
      <c r="J318">
        <v>120</v>
      </c>
      <c r="K318">
        <v>1</v>
      </c>
      <c r="L318" t="s">
        <v>20</v>
      </c>
      <c r="M318" t="s">
        <v>53</v>
      </c>
      <c r="N318">
        <v>1961</v>
      </c>
      <c r="O318" t="s">
        <v>35</v>
      </c>
      <c r="P318" t="s">
        <v>23</v>
      </c>
    </row>
    <row r="319" spans="1:16" x14ac:dyDescent="0.3">
      <c r="A319" t="s">
        <v>349</v>
      </c>
      <c r="B319" t="s">
        <v>17</v>
      </c>
      <c r="C319" t="s">
        <v>27</v>
      </c>
      <c r="D319" t="s">
        <v>1032</v>
      </c>
      <c r="E319" t="s">
        <v>19</v>
      </c>
      <c r="F319" t="s">
        <v>18</v>
      </c>
      <c r="G319">
        <v>14068</v>
      </c>
      <c r="H319">
        <v>8746</v>
      </c>
      <c r="I319">
        <v>221</v>
      </c>
      <c r="J319">
        <v>120</v>
      </c>
      <c r="K319">
        <v>0</v>
      </c>
      <c r="L319" t="s">
        <v>29</v>
      </c>
      <c r="M319" t="s">
        <v>21</v>
      </c>
      <c r="N319">
        <v>22814</v>
      </c>
      <c r="O319" t="s">
        <v>25</v>
      </c>
      <c r="P319" t="s">
        <v>32</v>
      </c>
    </row>
    <row r="320" spans="1:16" x14ac:dyDescent="0.3">
      <c r="A320" t="s">
        <v>350</v>
      </c>
      <c r="B320" t="s">
        <v>31</v>
      </c>
      <c r="C320" t="s">
        <v>27</v>
      </c>
      <c r="D320" t="s">
        <v>1032</v>
      </c>
      <c r="E320" t="s">
        <v>28</v>
      </c>
      <c r="F320" t="s">
        <v>18</v>
      </c>
      <c r="G320">
        <v>12730</v>
      </c>
      <c r="H320">
        <v>8531</v>
      </c>
      <c r="I320">
        <v>242</v>
      </c>
      <c r="J320">
        <v>180</v>
      </c>
      <c r="K320">
        <v>0</v>
      </c>
      <c r="L320" t="s">
        <v>29</v>
      </c>
      <c r="M320" t="s">
        <v>21</v>
      </c>
      <c r="N320">
        <v>21261</v>
      </c>
      <c r="O320" t="s">
        <v>25</v>
      </c>
      <c r="P320" t="s">
        <v>32</v>
      </c>
    </row>
    <row r="321" spans="1:16" x14ac:dyDescent="0.3">
      <c r="A321" t="s">
        <v>351</v>
      </c>
      <c r="B321" t="s">
        <v>17</v>
      </c>
      <c r="C321" t="s">
        <v>18</v>
      </c>
      <c r="D321" t="s">
        <v>1033</v>
      </c>
      <c r="E321" t="s">
        <v>19</v>
      </c>
      <c r="F321" t="s">
        <v>18</v>
      </c>
      <c r="G321">
        <v>2218</v>
      </c>
      <c r="H321">
        <v>0</v>
      </c>
      <c r="I321">
        <v>176</v>
      </c>
      <c r="J321">
        <v>240</v>
      </c>
      <c r="K321">
        <v>1</v>
      </c>
      <c r="L321" t="s">
        <v>20</v>
      </c>
      <c r="M321" t="s">
        <v>53</v>
      </c>
      <c r="N321">
        <v>2218</v>
      </c>
      <c r="O321" t="s">
        <v>35</v>
      </c>
      <c r="P321" t="s">
        <v>23</v>
      </c>
    </row>
    <row r="322" spans="1:16" x14ac:dyDescent="0.3">
      <c r="A322" t="s">
        <v>352</v>
      </c>
      <c r="B322" t="s">
        <v>31</v>
      </c>
      <c r="C322" t="s">
        <v>27</v>
      </c>
      <c r="D322" t="s">
        <v>1034</v>
      </c>
      <c r="E322" t="s">
        <v>19</v>
      </c>
      <c r="F322" t="s">
        <v>18</v>
      </c>
      <c r="G322">
        <v>22916</v>
      </c>
      <c r="H322">
        <v>0</v>
      </c>
      <c r="I322">
        <v>99</v>
      </c>
      <c r="J322">
        <v>120</v>
      </c>
      <c r="K322">
        <v>1</v>
      </c>
      <c r="L322" t="s">
        <v>29</v>
      </c>
      <c r="M322" t="s">
        <v>21</v>
      </c>
      <c r="N322">
        <v>22916</v>
      </c>
      <c r="O322" t="s">
        <v>25</v>
      </c>
      <c r="P322" t="s">
        <v>23</v>
      </c>
    </row>
    <row r="323" spans="1:16" x14ac:dyDescent="0.3">
      <c r="A323" t="s">
        <v>353</v>
      </c>
      <c r="B323" t="s">
        <v>17</v>
      </c>
      <c r="C323" t="s">
        <v>27</v>
      </c>
      <c r="D323" t="s">
        <v>1035</v>
      </c>
      <c r="E323" t="s">
        <v>19</v>
      </c>
      <c r="F323" t="s">
        <v>18</v>
      </c>
      <c r="G323">
        <v>24280</v>
      </c>
      <c r="H323">
        <v>0</v>
      </c>
      <c r="I323">
        <v>358</v>
      </c>
      <c r="J323">
        <v>300</v>
      </c>
      <c r="K323">
        <v>1</v>
      </c>
      <c r="L323" t="s">
        <v>34</v>
      </c>
      <c r="M323" t="s">
        <v>21</v>
      </c>
      <c r="N323">
        <v>24280</v>
      </c>
      <c r="O323" t="s">
        <v>25</v>
      </c>
      <c r="P323" t="s">
        <v>23</v>
      </c>
    </row>
    <row r="324" spans="1:16" x14ac:dyDescent="0.3">
      <c r="A324" t="s">
        <v>354</v>
      </c>
      <c r="B324" t="s">
        <v>31</v>
      </c>
      <c r="C324" t="s">
        <v>18</v>
      </c>
      <c r="D324" t="s">
        <v>1035</v>
      </c>
      <c r="E324" t="s">
        <v>19</v>
      </c>
      <c r="F324" t="s">
        <v>18</v>
      </c>
      <c r="G324">
        <v>10763</v>
      </c>
      <c r="H324">
        <v>0</v>
      </c>
      <c r="I324">
        <v>559</v>
      </c>
      <c r="J324">
        <v>180</v>
      </c>
      <c r="K324">
        <v>1</v>
      </c>
      <c r="L324" t="s">
        <v>29</v>
      </c>
      <c r="M324" t="s">
        <v>21</v>
      </c>
      <c r="N324">
        <v>10763</v>
      </c>
      <c r="O324" t="s">
        <v>25</v>
      </c>
      <c r="P324" t="s">
        <v>23</v>
      </c>
    </row>
    <row r="325" spans="1:16" x14ac:dyDescent="0.3">
      <c r="A325" t="s">
        <v>355</v>
      </c>
      <c r="B325" t="s">
        <v>17</v>
      </c>
      <c r="C325" t="s">
        <v>27</v>
      </c>
      <c r="D325" t="s">
        <v>1035</v>
      </c>
      <c r="E325" t="s">
        <v>28</v>
      </c>
      <c r="F325" t="s">
        <v>18</v>
      </c>
      <c r="G325">
        <v>2791</v>
      </c>
      <c r="H325">
        <v>9480</v>
      </c>
      <c r="I325">
        <v>262</v>
      </c>
      <c r="J325">
        <v>300</v>
      </c>
      <c r="K325">
        <v>1</v>
      </c>
      <c r="L325" t="s">
        <v>20</v>
      </c>
      <c r="M325" t="s">
        <v>21</v>
      </c>
      <c r="N325">
        <v>12271</v>
      </c>
      <c r="O325" t="s">
        <v>25</v>
      </c>
      <c r="P325" t="s">
        <v>23</v>
      </c>
    </row>
    <row r="326" spans="1:16" x14ac:dyDescent="0.3">
      <c r="A326" t="s">
        <v>356</v>
      </c>
      <c r="B326" t="s">
        <v>17</v>
      </c>
      <c r="C326" t="s">
        <v>18</v>
      </c>
      <c r="D326" t="s">
        <v>1034</v>
      </c>
      <c r="E326" t="s">
        <v>28</v>
      </c>
      <c r="F326" t="s">
        <v>18</v>
      </c>
      <c r="G326">
        <v>4451</v>
      </c>
      <c r="H326">
        <v>0</v>
      </c>
      <c r="I326">
        <v>153</v>
      </c>
      <c r="J326">
        <v>240</v>
      </c>
      <c r="K326">
        <v>1</v>
      </c>
      <c r="L326" t="s">
        <v>29</v>
      </c>
      <c r="M326" t="s">
        <v>53</v>
      </c>
      <c r="N326">
        <v>4451</v>
      </c>
      <c r="O326" t="s">
        <v>35</v>
      </c>
      <c r="P326" t="s">
        <v>23</v>
      </c>
    </row>
    <row r="327" spans="1:16" x14ac:dyDescent="0.3">
      <c r="A327" t="s">
        <v>357</v>
      </c>
      <c r="B327" t="s">
        <v>31</v>
      </c>
      <c r="C327" t="s">
        <v>27</v>
      </c>
      <c r="D327" t="s">
        <v>1035</v>
      </c>
      <c r="E327" t="s">
        <v>19</v>
      </c>
      <c r="F327" t="s">
        <v>18</v>
      </c>
      <c r="G327">
        <v>7224</v>
      </c>
      <c r="H327">
        <v>0</v>
      </c>
      <c r="I327">
        <v>347</v>
      </c>
      <c r="J327">
        <v>240</v>
      </c>
      <c r="K327">
        <v>0</v>
      </c>
      <c r="L327" t="s">
        <v>29</v>
      </c>
      <c r="M327" t="s">
        <v>53</v>
      </c>
      <c r="N327">
        <v>7224</v>
      </c>
      <c r="O327" t="s">
        <v>22</v>
      </c>
      <c r="P327" t="s">
        <v>32</v>
      </c>
    </row>
    <row r="328" spans="1:16" x14ac:dyDescent="0.3">
      <c r="A328" t="s">
        <v>358</v>
      </c>
      <c r="B328" t="s">
        <v>31</v>
      </c>
      <c r="C328" t="s">
        <v>18</v>
      </c>
      <c r="D328" t="s">
        <v>1034</v>
      </c>
      <c r="E328" t="s">
        <v>19</v>
      </c>
      <c r="F328" t="s">
        <v>18</v>
      </c>
      <c r="G328">
        <v>6034</v>
      </c>
      <c r="H328">
        <v>0</v>
      </c>
      <c r="I328">
        <v>386</v>
      </c>
      <c r="J328">
        <v>240</v>
      </c>
      <c r="K328">
        <v>0</v>
      </c>
      <c r="L328" t="s">
        <v>34</v>
      </c>
      <c r="M328" t="s">
        <v>53</v>
      </c>
      <c r="N328">
        <v>6034</v>
      </c>
      <c r="O328" t="s">
        <v>22</v>
      </c>
      <c r="P328" t="s">
        <v>32</v>
      </c>
    </row>
    <row r="329" spans="1:16" x14ac:dyDescent="0.3">
      <c r="A329" t="s">
        <v>359</v>
      </c>
      <c r="B329" t="s">
        <v>31</v>
      </c>
      <c r="C329" t="s">
        <v>18</v>
      </c>
      <c r="D329" t="s">
        <v>1032</v>
      </c>
      <c r="E329" t="s">
        <v>28</v>
      </c>
      <c r="F329" t="s">
        <v>18</v>
      </c>
      <c r="G329">
        <v>5230</v>
      </c>
      <c r="H329">
        <v>7066</v>
      </c>
      <c r="I329">
        <v>517</v>
      </c>
      <c r="J329">
        <v>240</v>
      </c>
      <c r="K329">
        <v>0</v>
      </c>
      <c r="L329" t="s">
        <v>34</v>
      </c>
      <c r="M329" t="s">
        <v>21</v>
      </c>
      <c r="N329">
        <v>12296</v>
      </c>
      <c r="O329" t="s">
        <v>25</v>
      </c>
      <c r="P329" t="s">
        <v>32</v>
      </c>
    </row>
    <row r="330" spans="1:16" x14ac:dyDescent="0.3">
      <c r="A330" t="s">
        <v>360</v>
      </c>
      <c r="B330" t="s">
        <v>31</v>
      </c>
      <c r="C330" t="s">
        <v>27</v>
      </c>
      <c r="D330" t="s">
        <v>1033</v>
      </c>
      <c r="E330" t="s">
        <v>19</v>
      </c>
      <c r="F330" t="s">
        <v>18</v>
      </c>
      <c r="G330">
        <v>24312</v>
      </c>
      <c r="H330">
        <v>0</v>
      </c>
      <c r="I330">
        <v>213</v>
      </c>
      <c r="J330">
        <v>120</v>
      </c>
      <c r="K330">
        <v>1</v>
      </c>
      <c r="L330" t="s">
        <v>34</v>
      </c>
      <c r="M330" t="s">
        <v>21</v>
      </c>
      <c r="N330">
        <v>24312</v>
      </c>
      <c r="O330" t="s">
        <v>25</v>
      </c>
      <c r="P330" t="s">
        <v>23</v>
      </c>
    </row>
    <row r="331" spans="1:16" x14ac:dyDescent="0.3">
      <c r="A331" t="s">
        <v>361</v>
      </c>
      <c r="B331" t="s">
        <v>31</v>
      </c>
      <c r="C331" t="s">
        <v>27</v>
      </c>
      <c r="D331" t="s">
        <v>1033</v>
      </c>
      <c r="E331" t="s">
        <v>28</v>
      </c>
      <c r="F331" t="s">
        <v>27</v>
      </c>
      <c r="G331">
        <v>21532</v>
      </c>
      <c r="H331">
        <v>0</v>
      </c>
      <c r="I331">
        <v>544</v>
      </c>
      <c r="J331">
        <v>300</v>
      </c>
      <c r="K331">
        <v>1</v>
      </c>
      <c r="L331" t="s">
        <v>29</v>
      </c>
      <c r="M331" t="s">
        <v>21</v>
      </c>
      <c r="N331">
        <v>21532</v>
      </c>
      <c r="O331" t="s">
        <v>25</v>
      </c>
      <c r="P331" t="s">
        <v>23</v>
      </c>
    </row>
    <row r="332" spans="1:16" x14ac:dyDescent="0.3">
      <c r="A332" t="s">
        <v>362</v>
      </c>
      <c r="B332" t="s">
        <v>31</v>
      </c>
      <c r="C332" t="s">
        <v>18</v>
      </c>
      <c r="D332" t="s">
        <v>1034</v>
      </c>
      <c r="E332" t="s">
        <v>28</v>
      </c>
      <c r="F332" t="s">
        <v>27</v>
      </c>
      <c r="G332">
        <v>1905</v>
      </c>
      <c r="H332">
        <v>0</v>
      </c>
      <c r="I332">
        <v>396</v>
      </c>
      <c r="J332">
        <v>360</v>
      </c>
      <c r="K332">
        <v>1</v>
      </c>
      <c r="L332" t="s">
        <v>34</v>
      </c>
      <c r="M332" t="s">
        <v>53</v>
      </c>
      <c r="N332">
        <v>1905</v>
      </c>
      <c r="O332" t="s">
        <v>35</v>
      </c>
      <c r="P332" t="s">
        <v>23</v>
      </c>
    </row>
    <row r="333" spans="1:16" x14ac:dyDescent="0.3">
      <c r="A333" t="s">
        <v>363</v>
      </c>
      <c r="B333" t="s">
        <v>17</v>
      </c>
      <c r="C333" t="s">
        <v>27</v>
      </c>
      <c r="D333" t="s">
        <v>1033</v>
      </c>
      <c r="E333" t="s">
        <v>28</v>
      </c>
      <c r="F333" t="s">
        <v>27</v>
      </c>
      <c r="G333">
        <v>23248</v>
      </c>
      <c r="H333">
        <v>11580</v>
      </c>
      <c r="I333">
        <v>202</v>
      </c>
      <c r="J333">
        <v>360</v>
      </c>
      <c r="K333">
        <v>0</v>
      </c>
      <c r="L333" t="s">
        <v>34</v>
      </c>
      <c r="M333" t="s">
        <v>21</v>
      </c>
      <c r="N333">
        <v>34828</v>
      </c>
      <c r="O333" t="s">
        <v>25</v>
      </c>
      <c r="P333" t="s">
        <v>32</v>
      </c>
    </row>
    <row r="334" spans="1:16" x14ac:dyDescent="0.3">
      <c r="A334" t="s">
        <v>364</v>
      </c>
      <c r="B334" t="s">
        <v>17</v>
      </c>
      <c r="C334" t="s">
        <v>18</v>
      </c>
      <c r="D334" t="s">
        <v>1033</v>
      </c>
      <c r="E334" t="s">
        <v>28</v>
      </c>
      <c r="F334" t="s">
        <v>27</v>
      </c>
      <c r="G334">
        <v>6919</v>
      </c>
      <c r="H334">
        <v>1726</v>
      </c>
      <c r="I334">
        <v>378</v>
      </c>
      <c r="J334">
        <v>180</v>
      </c>
      <c r="K334">
        <v>1</v>
      </c>
      <c r="L334" t="s">
        <v>29</v>
      </c>
      <c r="M334" t="s">
        <v>21</v>
      </c>
      <c r="N334">
        <v>8645</v>
      </c>
      <c r="O334" t="s">
        <v>22</v>
      </c>
      <c r="P334" t="s">
        <v>23</v>
      </c>
    </row>
    <row r="335" spans="1:16" x14ac:dyDescent="0.3">
      <c r="A335" t="s">
        <v>365</v>
      </c>
      <c r="B335" t="s">
        <v>17</v>
      </c>
      <c r="C335" t="s">
        <v>18</v>
      </c>
      <c r="D335" t="s">
        <v>1035</v>
      </c>
      <c r="E335" t="s">
        <v>28</v>
      </c>
      <c r="F335" t="s">
        <v>18</v>
      </c>
      <c r="G335">
        <v>4083</v>
      </c>
      <c r="H335">
        <v>8021</v>
      </c>
      <c r="I335">
        <v>636</v>
      </c>
      <c r="J335">
        <v>300</v>
      </c>
      <c r="K335">
        <v>1</v>
      </c>
      <c r="L335" t="s">
        <v>29</v>
      </c>
      <c r="M335" t="s">
        <v>21</v>
      </c>
      <c r="N335">
        <v>12104</v>
      </c>
      <c r="O335" t="s">
        <v>25</v>
      </c>
      <c r="P335" t="s">
        <v>23</v>
      </c>
    </row>
    <row r="336" spans="1:16" x14ac:dyDescent="0.3">
      <c r="A336" t="s">
        <v>366</v>
      </c>
      <c r="B336" t="s">
        <v>31</v>
      </c>
      <c r="C336" t="s">
        <v>27</v>
      </c>
      <c r="D336" t="s">
        <v>1034</v>
      </c>
      <c r="E336" t="s">
        <v>28</v>
      </c>
      <c r="F336" t="s">
        <v>18</v>
      </c>
      <c r="G336">
        <v>4863</v>
      </c>
      <c r="H336">
        <v>7109</v>
      </c>
      <c r="I336">
        <v>86</v>
      </c>
      <c r="J336">
        <v>360</v>
      </c>
      <c r="K336">
        <v>1</v>
      </c>
      <c r="L336" t="s">
        <v>20</v>
      </c>
      <c r="M336" t="s">
        <v>21</v>
      </c>
      <c r="N336">
        <v>11972</v>
      </c>
      <c r="O336" t="s">
        <v>25</v>
      </c>
      <c r="P336" t="s">
        <v>23</v>
      </c>
    </row>
    <row r="337" spans="1:16" x14ac:dyDescent="0.3">
      <c r="A337" t="s">
        <v>367</v>
      </c>
      <c r="B337" t="s">
        <v>31</v>
      </c>
      <c r="C337" t="s">
        <v>18</v>
      </c>
      <c r="D337" t="s">
        <v>1035</v>
      </c>
      <c r="E337" t="s">
        <v>28</v>
      </c>
      <c r="F337" t="s">
        <v>27</v>
      </c>
      <c r="G337">
        <v>3278</v>
      </c>
      <c r="H337">
        <v>0</v>
      </c>
      <c r="I337">
        <v>515</v>
      </c>
      <c r="J337">
        <v>240</v>
      </c>
      <c r="K337">
        <v>1</v>
      </c>
      <c r="L337" t="s">
        <v>34</v>
      </c>
      <c r="M337" t="s">
        <v>53</v>
      </c>
      <c r="N337">
        <v>3278</v>
      </c>
      <c r="O337" t="s">
        <v>35</v>
      </c>
      <c r="P337" t="s">
        <v>23</v>
      </c>
    </row>
    <row r="338" spans="1:16" x14ac:dyDescent="0.3">
      <c r="A338" t="s">
        <v>368</v>
      </c>
      <c r="B338" t="s">
        <v>31</v>
      </c>
      <c r="C338" t="s">
        <v>27</v>
      </c>
      <c r="D338" t="s">
        <v>1035</v>
      </c>
      <c r="E338" t="s">
        <v>19</v>
      </c>
      <c r="F338" t="s">
        <v>18</v>
      </c>
      <c r="G338">
        <v>23091</v>
      </c>
      <c r="H338">
        <v>0</v>
      </c>
      <c r="I338">
        <v>399</v>
      </c>
      <c r="J338">
        <v>240</v>
      </c>
      <c r="K338">
        <v>0</v>
      </c>
      <c r="L338" t="s">
        <v>29</v>
      </c>
      <c r="M338" t="s">
        <v>21</v>
      </c>
      <c r="N338">
        <v>23091</v>
      </c>
      <c r="O338" t="s">
        <v>25</v>
      </c>
      <c r="P338" t="s">
        <v>32</v>
      </c>
    </row>
    <row r="339" spans="1:16" x14ac:dyDescent="0.3">
      <c r="A339" t="s">
        <v>369</v>
      </c>
      <c r="B339" t="s">
        <v>31</v>
      </c>
      <c r="C339" t="s">
        <v>18</v>
      </c>
      <c r="D339" t="s">
        <v>1034</v>
      </c>
      <c r="E339" t="s">
        <v>19</v>
      </c>
      <c r="F339" t="s">
        <v>27</v>
      </c>
      <c r="G339">
        <v>6102</v>
      </c>
      <c r="H339">
        <v>13965</v>
      </c>
      <c r="I339">
        <v>159</v>
      </c>
      <c r="J339">
        <v>240</v>
      </c>
      <c r="K339">
        <v>1</v>
      </c>
      <c r="L339" t="s">
        <v>20</v>
      </c>
      <c r="M339" t="s">
        <v>21</v>
      </c>
      <c r="N339">
        <v>20067</v>
      </c>
      <c r="O339" t="s">
        <v>25</v>
      </c>
      <c r="P339" t="s">
        <v>23</v>
      </c>
    </row>
    <row r="340" spans="1:16" x14ac:dyDescent="0.3">
      <c r="A340" t="s">
        <v>370</v>
      </c>
      <c r="B340" t="s">
        <v>17</v>
      </c>
      <c r="C340" t="s">
        <v>27</v>
      </c>
      <c r="D340" t="s">
        <v>1033</v>
      </c>
      <c r="E340" t="s">
        <v>28</v>
      </c>
      <c r="F340" t="s">
        <v>18</v>
      </c>
      <c r="G340">
        <v>24987</v>
      </c>
      <c r="H340">
        <v>0</v>
      </c>
      <c r="I340">
        <v>474</v>
      </c>
      <c r="J340">
        <v>120</v>
      </c>
      <c r="K340">
        <v>0</v>
      </c>
      <c r="L340" t="s">
        <v>34</v>
      </c>
      <c r="M340" t="s">
        <v>21</v>
      </c>
      <c r="N340">
        <v>24987</v>
      </c>
      <c r="O340" t="s">
        <v>25</v>
      </c>
      <c r="P340" t="s">
        <v>32</v>
      </c>
    </row>
    <row r="341" spans="1:16" x14ac:dyDescent="0.3">
      <c r="A341" t="s">
        <v>371</v>
      </c>
      <c r="B341" t="s">
        <v>17</v>
      </c>
      <c r="C341" t="s">
        <v>27</v>
      </c>
      <c r="D341" t="s">
        <v>1035</v>
      </c>
      <c r="E341" t="s">
        <v>19</v>
      </c>
      <c r="F341" t="s">
        <v>27</v>
      </c>
      <c r="G341">
        <v>1642</v>
      </c>
      <c r="H341">
        <v>0</v>
      </c>
      <c r="I341">
        <v>616</v>
      </c>
      <c r="J341">
        <v>300</v>
      </c>
      <c r="K341">
        <v>0</v>
      </c>
      <c r="L341" t="s">
        <v>29</v>
      </c>
      <c r="M341" t="s">
        <v>53</v>
      </c>
      <c r="N341">
        <v>1642</v>
      </c>
      <c r="O341" t="s">
        <v>35</v>
      </c>
      <c r="P341" t="s">
        <v>32</v>
      </c>
    </row>
    <row r="342" spans="1:16" x14ac:dyDescent="0.3">
      <c r="A342" t="s">
        <v>372</v>
      </c>
      <c r="B342" t="s">
        <v>17</v>
      </c>
      <c r="C342" t="s">
        <v>18</v>
      </c>
      <c r="D342" t="s">
        <v>1033</v>
      </c>
      <c r="E342" t="s">
        <v>19</v>
      </c>
      <c r="F342" t="s">
        <v>27</v>
      </c>
      <c r="G342">
        <v>23045</v>
      </c>
      <c r="H342">
        <v>10339</v>
      </c>
      <c r="I342">
        <v>566</v>
      </c>
      <c r="J342">
        <v>300</v>
      </c>
      <c r="K342">
        <v>1</v>
      </c>
      <c r="L342" t="s">
        <v>34</v>
      </c>
      <c r="M342" t="s">
        <v>21</v>
      </c>
      <c r="N342">
        <v>33384</v>
      </c>
      <c r="O342" t="s">
        <v>25</v>
      </c>
      <c r="P342" t="s">
        <v>23</v>
      </c>
    </row>
    <row r="343" spans="1:16" x14ac:dyDescent="0.3">
      <c r="A343" t="s">
        <v>373</v>
      </c>
      <c r="B343" t="s">
        <v>17</v>
      </c>
      <c r="C343" t="s">
        <v>27</v>
      </c>
      <c r="D343" t="s">
        <v>1035</v>
      </c>
      <c r="E343" t="s">
        <v>28</v>
      </c>
      <c r="F343" t="s">
        <v>27</v>
      </c>
      <c r="G343">
        <v>16338</v>
      </c>
      <c r="H343">
        <v>0</v>
      </c>
      <c r="I343">
        <v>191</v>
      </c>
      <c r="J343">
        <v>300</v>
      </c>
      <c r="K343">
        <v>1</v>
      </c>
      <c r="L343" t="s">
        <v>34</v>
      </c>
      <c r="M343" t="s">
        <v>21</v>
      </c>
      <c r="N343">
        <v>16338</v>
      </c>
      <c r="O343" t="s">
        <v>25</v>
      </c>
      <c r="P343" t="s">
        <v>23</v>
      </c>
    </row>
    <row r="344" spans="1:16" x14ac:dyDescent="0.3">
      <c r="A344" t="s">
        <v>374</v>
      </c>
      <c r="B344" t="s">
        <v>31</v>
      </c>
      <c r="C344" t="s">
        <v>27</v>
      </c>
      <c r="D344" t="s">
        <v>1033</v>
      </c>
      <c r="E344" t="s">
        <v>19</v>
      </c>
      <c r="F344" t="s">
        <v>18</v>
      </c>
      <c r="G344">
        <v>21952</v>
      </c>
      <c r="H344">
        <v>12204</v>
      </c>
      <c r="I344">
        <v>403</v>
      </c>
      <c r="J344">
        <v>180</v>
      </c>
      <c r="K344">
        <v>0</v>
      </c>
      <c r="L344" t="s">
        <v>34</v>
      </c>
      <c r="M344" t="s">
        <v>21</v>
      </c>
      <c r="N344">
        <v>34156</v>
      </c>
      <c r="O344" t="s">
        <v>25</v>
      </c>
      <c r="P344" t="s">
        <v>32</v>
      </c>
    </row>
    <row r="345" spans="1:16" x14ac:dyDescent="0.3">
      <c r="A345" t="s">
        <v>375</v>
      </c>
      <c r="B345" t="s">
        <v>17</v>
      </c>
      <c r="C345" t="s">
        <v>27</v>
      </c>
      <c r="D345" t="s">
        <v>1034</v>
      </c>
      <c r="E345" t="s">
        <v>28</v>
      </c>
      <c r="F345" t="s">
        <v>27</v>
      </c>
      <c r="G345">
        <v>20597</v>
      </c>
      <c r="H345">
        <v>9849</v>
      </c>
      <c r="I345">
        <v>596</v>
      </c>
      <c r="J345">
        <v>240</v>
      </c>
      <c r="K345">
        <v>0</v>
      </c>
      <c r="L345" t="s">
        <v>29</v>
      </c>
      <c r="M345" t="s">
        <v>21</v>
      </c>
      <c r="N345">
        <v>30446</v>
      </c>
      <c r="O345" t="s">
        <v>25</v>
      </c>
      <c r="P345" t="s">
        <v>32</v>
      </c>
    </row>
    <row r="346" spans="1:16" x14ac:dyDescent="0.3">
      <c r="A346" t="s">
        <v>376</v>
      </c>
      <c r="B346" t="s">
        <v>17</v>
      </c>
      <c r="C346" t="s">
        <v>18</v>
      </c>
      <c r="D346" t="s">
        <v>1034</v>
      </c>
      <c r="E346" t="s">
        <v>28</v>
      </c>
      <c r="F346" t="s">
        <v>18</v>
      </c>
      <c r="G346">
        <v>3238</v>
      </c>
      <c r="H346">
        <v>0</v>
      </c>
      <c r="I346">
        <v>254</v>
      </c>
      <c r="J346">
        <v>240</v>
      </c>
      <c r="K346">
        <v>1</v>
      </c>
      <c r="L346" t="s">
        <v>20</v>
      </c>
      <c r="M346" t="s">
        <v>53</v>
      </c>
      <c r="N346">
        <v>3238</v>
      </c>
      <c r="O346" t="s">
        <v>35</v>
      </c>
      <c r="P346" t="s">
        <v>23</v>
      </c>
    </row>
    <row r="347" spans="1:16" x14ac:dyDescent="0.3">
      <c r="A347" t="s">
        <v>377</v>
      </c>
      <c r="B347" t="s">
        <v>31</v>
      </c>
      <c r="C347" t="s">
        <v>27</v>
      </c>
      <c r="D347" t="s">
        <v>1033</v>
      </c>
      <c r="E347" t="s">
        <v>19</v>
      </c>
      <c r="F347" t="s">
        <v>27</v>
      </c>
      <c r="G347">
        <v>8184</v>
      </c>
      <c r="H347">
        <v>0</v>
      </c>
      <c r="I347">
        <v>417</v>
      </c>
      <c r="J347">
        <v>300</v>
      </c>
      <c r="K347">
        <v>1</v>
      </c>
      <c r="L347" t="s">
        <v>34</v>
      </c>
      <c r="M347" t="s">
        <v>21</v>
      </c>
      <c r="N347">
        <v>8184</v>
      </c>
      <c r="O347" t="s">
        <v>22</v>
      </c>
      <c r="P347" t="s">
        <v>23</v>
      </c>
    </row>
    <row r="348" spans="1:16" x14ac:dyDescent="0.3">
      <c r="A348" t="s">
        <v>378</v>
      </c>
      <c r="B348" t="s">
        <v>17</v>
      </c>
      <c r="C348" t="s">
        <v>27</v>
      </c>
      <c r="D348" t="s">
        <v>1033</v>
      </c>
      <c r="E348" t="s">
        <v>28</v>
      </c>
      <c r="F348" t="s">
        <v>18</v>
      </c>
      <c r="G348">
        <v>14003</v>
      </c>
      <c r="H348">
        <v>6849</v>
      </c>
      <c r="I348">
        <v>370</v>
      </c>
      <c r="J348">
        <v>360</v>
      </c>
      <c r="K348">
        <v>1</v>
      </c>
      <c r="L348" t="s">
        <v>34</v>
      </c>
      <c r="M348" t="s">
        <v>21</v>
      </c>
      <c r="N348">
        <v>20852</v>
      </c>
      <c r="O348" t="s">
        <v>25</v>
      </c>
      <c r="P348" t="s">
        <v>23</v>
      </c>
    </row>
    <row r="349" spans="1:16" x14ac:dyDescent="0.3">
      <c r="A349" t="s">
        <v>379</v>
      </c>
      <c r="B349" t="s">
        <v>31</v>
      </c>
      <c r="C349" t="s">
        <v>18</v>
      </c>
      <c r="D349" t="s">
        <v>1035</v>
      </c>
      <c r="E349" t="s">
        <v>19</v>
      </c>
      <c r="F349" t="s">
        <v>27</v>
      </c>
      <c r="G349">
        <v>20780</v>
      </c>
      <c r="H349">
        <v>0</v>
      </c>
      <c r="I349">
        <v>248</v>
      </c>
      <c r="J349">
        <v>240</v>
      </c>
      <c r="K349">
        <v>1</v>
      </c>
      <c r="L349" t="s">
        <v>34</v>
      </c>
      <c r="M349" t="s">
        <v>21</v>
      </c>
      <c r="N349">
        <v>20780</v>
      </c>
      <c r="O349" t="s">
        <v>25</v>
      </c>
      <c r="P349" t="s">
        <v>23</v>
      </c>
    </row>
    <row r="350" spans="1:16" x14ac:dyDescent="0.3">
      <c r="A350" t="s">
        <v>380</v>
      </c>
      <c r="B350" t="s">
        <v>17</v>
      </c>
      <c r="C350" t="s">
        <v>18</v>
      </c>
      <c r="D350" t="s">
        <v>1033</v>
      </c>
      <c r="E350" t="s">
        <v>19</v>
      </c>
      <c r="F350" t="s">
        <v>27</v>
      </c>
      <c r="G350">
        <v>2831</v>
      </c>
      <c r="H350">
        <v>7520</v>
      </c>
      <c r="I350">
        <v>619</v>
      </c>
      <c r="J350">
        <v>240</v>
      </c>
      <c r="K350">
        <v>1</v>
      </c>
      <c r="L350" t="s">
        <v>34</v>
      </c>
      <c r="M350" t="s">
        <v>21</v>
      </c>
      <c r="N350">
        <v>10351</v>
      </c>
      <c r="O350" t="s">
        <v>25</v>
      </c>
      <c r="P350" t="s">
        <v>23</v>
      </c>
    </row>
    <row r="351" spans="1:16" x14ac:dyDescent="0.3">
      <c r="A351" t="s">
        <v>381</v>
      </c>
      <c r="B351" t="s">
        <v>31</v>
      </c>
      <c r="C351" t="s">
        <v>18</v>
      </c>
      <c r="D351" t="s">
        <v>1032</v>
      </c>
      <c r="E351" t="s">
        <v>28</v>
      </c>
      <c r="F351" t="s">
        <v>18</v>
      </c>
      <c r="G351">
        <v>2808</v>
      </c>
      <c r="H351">
        <v>3018</v>
      </c>
      <c r="I351">
        <v>661</v>
      </c>
      <c r="J351">
        <v>120</v>
      </c>
      <c r="K351">
        <v>1</v>
      </c>
      <c r="L351" t="s">
        <v>34</v>
      </c>
      <c r="M351" t="s">
        <v>21</v>
      </c>
      <c r="N351">
        <v>5826</v>
      </c>
      <c r="O351" t="s">
        <v>22</v>
      </c>
      <c r="P351" t="s">
        <v>23</v>
      </c>
    </row>
    <row r="352" spans="1:16" x14ac:dyDescent="0.3">
      <c r="A352" t="s">
        <v>382</v>
      </c>
      <c r="B352" t="s">
        <v>31</v>
      </c>
      <c r="C352" t="s">
        <v>27</v>
      </c>
      <c r="D352" t="s">
        <v>1032</v>
      </c>
      <c r="E352" t="s">
        <v>19</v>
      </c>
      <c r="F352" t="s">
        <v>27</v>
      </c>
      <c r="G352">
        <v>18716</v>
      </c>
      <c r="H352">
        <v>0</v>
      </c>
      <c r="I352">
        <v>583</v>
      </c>
      <c r="J352">
        <v>120</v>
      </c>
      <c r="K352">
        <v>0</v>
      </c>
      <c r="L352" t="s">
        <v>20</v>
      </c>
      <c r="M352" t="s">
        <v>21</v>
      </c>
      <c r="N352">
        <v>18716</v>
      </c>
      <c r="O352" t="s">
        <v>25</v>
      </c>
      <c r="P352" t="s">
        <v>32</v>
      </c>
    </row>
    <row r="353" spans="1:16" x14ac:dyDescent="0.3">
      <c r="A353" t="s">
        <v>383</v>
      </c>
      <c r="B353" t="s">
        <v>31</v>
      </c>
      <c r="C353" t="s">
        <v>27</v>
      </c>
      <c r="D353" t="s">
        <v>1034</v>
      </c>
      <c r="E353" t="s">
        <v>28</v>
      </c>
      <c r="F353" t="s">
        <v>18</v>
      </c>
      <c r="G353">
        <v>8491</v>
      </c>
      <c r="H353">
        <v>11368</v>
      </c>
      <c r="I353">
        <v>389</v>
      </c>
      <c r="J353">
        <v>240</v>
      </c>
      <c r="K353">
        <v>1</v>
      </c>
      <c r="L353" t="s">
        <v>34</v>
      </c>
      <c r="M353" t="s">
        <v>21</v>
      </c>
      <c r="N353">
        <v>19859</v>
      </c>
      <c r="O353" t="s">
        <v>25</v>
      </c>
      <c r="P353" t="s">
        <v>23</v>
      </c>
    </row>
    <row r="354" spans="1:16" x14ac:dyDescent="0.3">
      <c r="A354" t="s">
        <v>384</v>
      </c>
      <c r="B354" t="s">
        <v>31</v>
      </c>
      <c r="C354" t="s">
        <v>18</v>
      </c>
      <c r="D354" t="s">
        <v>1034</v>
      </c>
      <c r="E354" t="s">
        <v>28</v>
      </c>
      <c r="F354" t="s">
        <v>27</v>
      </c>
      <c r="G354">
        <v>9375</v>
      </c>
      <c r="H354">
        <v>0</v>
      </c>
      <c r="I354">
        <v>90</v>
      </c>
      <c r="J354">
        <v>240</v>
      </c>
      <c r="K354">
        <v>1</v>
      </c>
      <c r="L354" t="s">
        <v>20</v>
      </c>
      <c r="M354" t="s">
        <v>21</v>
      </c>
      <c r="N354">
        <v>9375</v>
      </c>
      <c r="O354" t="s">
        <v>22</v>
      </c>
      <c r="P354" t="s">
        <v>23</v>
      </c>
    </row>
    <row r="355" spans="1:16" x14ac:dyDescent="0.3">
      <c r="A355" t="s">
        <v>385</v>
      </c>
      <c r="B355" t="s">
        <v>31</v>
      </c>
      <c r="C355" t="s">
        <v>27</v>
      </c>
      <c r="D355" t="s">
        <v>1032</v>
      </c>
      <c r="E355" t="s">
        <v>19</v>
      </c>
      <c r="F355" t="s">
        <v>27</v>
      </c>
      <c r="G355">
        <v>18352</v>
      </c>
      <c r="H355">
        <v>13653</v>
      </c>
      <c r="I355">
        <v>548</v>
      </c>
      <c r="J355">
        <v>120</v>
      </c>
      <c r="K355">
        <v>1</v>
      </c>
      <c r="L355" t="s">
        <v>34</v>
      </c>
      <c r="M355" t="s">
        <v>21</v>
      </c>
      <c r="N355">
        <v>32005</v>
      </c>
      <c r="O355" t="s">
        <v>25</v>
      </c>
      <c r="P355" t="s">
        <v>23</v>
      </c>
    </row>
    <row r="356" spans="1:16" x14ac:dyDescent="0.3">
      <c r="A356" t="s">
        <v>386</v>
      </c>
      <c r="B356" t="s">
        <v>17</v>
      </c>
      <c r="C356" t="s">
        <v>27</v>
      </c>
      <c r="D356" t="s">
        <v>1034</v>
      </c>
      <c r="E356" t="s">
        <v>19</v>
      </c>
      <c r="F356" t="s">
        <v>18</v>
      </c>
      <c r="G356">
        <v>19128</v>
      </c>
      <c r="H356">
        <v>0</v>
      </c>
      <c r="I356">
        <v>691</v>
      </c>
      <c r="J356">
        <v>120</v>
      </c>
      <c r="K356">
        <v>1</v>
      </c>
      <c r="L356" t="s">
        <v>34</v>
      </c>
      <c r="M356" t="s">
        <v>21</v>
      </c>
      <c r="N356">
        <v>19128</v>
      </c>
      <c r="O356" t="s">
        <v>25</v>
      </c>
      <c r="P356" t="s">
        <v>23</v>
      </c>
    </row>
    <row r="357" spans="1:16" x14ac:dyDescent="0.3">
      <c r="A357" t="s">
        <v>387</v>
      </c>
      <c r="B357" t="s">
        <v>17</v>
      </c>
      <c r="C357" t="s">
        <v>27</v>
      </c>
      <c r="D357" t="s">
        <v>1034</v>
      </c>
      <c r="E357" t="s">
        <v>19</v>
      </c>
      <c r="F357" t="s">
        <v>27</v>
      </c>
      <c r="G357">
        <v>22686</v>
      </c>
      <c r="H357">
        <v>0</v>
      </c>
      <c r="I357">
        <v>207</v>
      </c>
      <c r="J357">
        <v>120</v>
      </c>
      <c r="K357">
        <v>1</v>
      </c>
      <c r="L357" t="s">
        <v>29</v>
      </c>
      <c r="M357" t="s">
        <v>21</v>
      </c>
      <c r="N357">
        <v>22686</v>
      </c>
      <c r="O357" t="s">
        <v>25</v>
      </c>
      <c r="P357" t="s">
        <v>23</v>
      </c>
    </row>
    <row r="358" spans="1:16" x14ac:dyDescent="0.3">
      <c r="A358" t="s">
        <v>388</v>
      </c>
      <c r="B358" t="s">
        <v>17</v>
      </c>
      <c r="C358" t="s">
        <v>18</v>
      </c>
      <c r="D358" t="s">
        <v>1034</v>
      </c>
      <c r="E358" t="s">
        <v>19</v>
      </c>
      <c r="F358" t="s">
        <v>18</v>
      </c>
      <c r="G358">
        <v>9754</v>
      </c>
      <c r="H358">
        <v>0</v>
      </c>
      <c r="I358">
        <v>638</v>
      </c>
      <c r="J358">
        <v>180</v>
      </c>
      <c r="K358">
        <v>0</v>
      </c>
      <c r="L358" t="s">
        <v>29</v>
      </c>
      <c r="M358" t="s">
        <v>21</v>
      </c>
      <c r="N358">
        <v>9754</v>
      </c>
      <c r="O358" t="s">
        <v>22</v>
      </c>
      <c r="P358" t="s">
        <v>32</v>
      </c>
    </row>
    <row r="359" spans="1:16" x14ac:dyDescent="0.3">
      <c r="A359" t="s">
        <v>389</v>
      </c>
      <c r="B359" t="s">
        <v>31</v>
      </c>
      <c r="C359" t="s">
        <v>27</v>
      </c>
      <c r="D359" t="s">
        <v>1035</v>
      </c>
      <c r="E359" t="s">
        <v>28</v>
      </c>
      <c r="F359" t="s">
        <v>27</v>
      </c>
      <c r="G359">
        <v>2053</v>
      </c>
      <c r="H359">
        <v>0</v>
      </c>
      <c r="I359">
        <v>597</v>
      </c>
      <c r="J359">
        <v>120</v>
      </c>
      <c r="K359">
        <v>1</v>
      </c>
      <c r="L359" t="s">
        <v>34</v>
      </c>
      <c r="M359" t="s">
        <v>53</v>
      </c>
      <c r="N359">
        <v>2053</v>
      </c>
      <c r="O359" t="s">
        <v>35</v>
      </c>
      <c r="P359" t="s">
        <v>23</v>
      </c>
    </row>
    <row r="360" spans="1:16" x14ac:dyDescent="0.3">
      <c r="A360" t="s">
        <v>390</v>
      </c>
      <c r="B360" t="s">
        <v>17</v>
      </c>
      <c r="C360" t="s">
        <v>18</v>
      </c>
      <c r="D360" t="s">
        <v>1034</v>
      </c>
      <c r="E360" t="s">
        <v>28</v>
      </c>
      <c r="F360" t="s">
        <v>18</v>
      </c>
      <c r="G360">
        <v>10997</v>
      </c>
      <c r="H360">
        <v>13392</v>
      </c>
      <c r="I360">
        <v>671</v>
      </c>
      <c r="J360">
        <v>120</v>
      </c>
      <c r="K360">
        <v>1</v>
      </c>
      <c r="L360" t="s">
        <v>29</v>
      </c>
      <c r="M360" t="s">
        <v>21</v>
      </c>
      <c r="N360">
        <v>24389</v>
      </c>
      <c r="O360" t="s">
        <v>25</v>
      </c>
      <c r="P360" t="s">
        <v>23</v>
      </c>
    </row>
    <row r="361" spans="1:16" x14ac:dyDescent="0.3">
      <c r="A361" t="s">
        <v>391</v>
      </c>
      <c r="B361" t="s">
        <v>31</v>
      </c>
      <c r="C361" t="s">
        <v>27</v>
      </c>
      <c r="D361" t="s">
        <v>1034</v>
      </c>
      <c r="E361" t="s">
        <v>28</v>
      </c>
      <c r="F361" t="s">
        <v>18</v>
      </c>
      <c r="G361">
        <v>18980</v>
      </c>
      <c r="H361">
        <v>0</v>
      </c>
      <c r="I361">
        <v>450</v>
      </c>
      <c r="J361">
        <v>360</v>
      </c>
      <c r="K361">
        <v>1</v>
      </c>
      <c r="L361" t="s">
        <v>34</v>
      </c>
      <c r="M361" t="s">
        <v>21</v>
      </c>
      <c r="N361">
        <v>18980</v>
      </c>
      <c r="O361" t="s">
        <v>25</v>
      </c>
      <c r="P361" t="s">
        <v>23</v>
      </c>
    </row>
    <row r="362" spans="1:16" x14ac:dyDescent="0.3">
      <c r="A362" t="s">
        <v>392</v>
      </c>
      <c r="B362" t="s">
        <v>17</v>
      </c>
      <c r="C362" t="s">
        <v>27</v>
      </c>
      <c r="D362" t="s">
        <v>1032</v>
      </c>
      <c r="E362" t="s">
        <v>19</v>
      </c>
      <c r="F362" t="s">
        <v>18</v>
      </c>
      <c r="G362">
        <v>5538</v>
      </c>
      <c r="H362">
        <v>0</v>
      </c>
      <c r="I362">
        <v>636</v>
      </c>
      <c r="J362">
        <v>360</v>
      </c>
      <c r="K362">
        <v>1</v>
      </c>
      <c r="L362" t="s">
        <v>34</v>
      </c>
      <c r="M362" t="s">
        <v>21</v>
      </c>
      <c r="N362">
        <v>5538</v>
      </c>
      <c r="O362" t="s">
        <v>22</v>
      </c>
      <c r="P362" t="s">
        <v>23</v>
      </c>
    </row>
    <row r="363" spans="1:16" x14ac:dyDescent="0.3">
      <c r="A363" t="s">
        <v>393</v>
      </c>
      <c r="B363" t="s">
        <v>17</v>
      </c>
      <c r="C363" t="s">
        <v>27</v>
      </c>
      <c r="D363" t="s">
        <v>1033</v>
      </c>
      <c r="E363" t="s">
        <v>28</v>
      </c>
      <c r="F363" t="s">
        <v>18</v>
      </c>
      <c r="G363">
        <v>15021</v>
      </c>
      <c r="H363">
        <v>0</v>
      </c>
      <c r="I363">
        <v>214</v>
      </c>
      <c r="J363">
        <v>180</v>
      </c>
      <c r="K363">
        <v>1</v>
      </c>
      <c r="L363" t="s">
        <v>29</v>
      </c>
      <c r="M363" t="s">
        <v>21</v>
      </c>
      <c r="N363">
        <v>15021</v>
      </c>
      <c r="O363" t="s">
        <v>25</v>
      </c>
      <c r="P363" t="s">
        <v>23</v>
      </c>
    </row>
    <row r="364" spans="1:16" x14ac:dyDescent="0.3">
      <c r="A364" t="s">
        <v>394</v>
      </c>
      <c r="B364" t="s">
        <v>17</v>
      </c>
      <c r="C364" t="s">
        <v>18</v>
      </c>
      <c r="D364" t="s">
        <v>1033</v>
      </c>
      <c r="E364" t="s">
        <v>19</v>
      </c>
      <c r="F364" t="s">
        <v>27</v>
      </c>
      <c r="G364">
        <v>22624</v>
      </c>
      <c r="H364">
        <v>0</v>
      </c>
      <c r="I364">
        <v>347</v>
      </c>
      <c r="J364">
        <v>120</v>
      </c>
      <c r="K364">
        <v>1</v>
      </c>
      <c r="L364" t="s">
        <v>20</v>
      </c>
      <c r="M364" t="s">
        <v>21</v>
      </c>
      <c r="N364">
        <v>22624</v>
      </c>
      <c r="O364" t="s">
        <v>25</v>
      </c>
      <c r="P364" t="s">
        <v>23</v>
      </c>
    </row>
    <row r="365" spans="1:16" x14ac:dyDescent="0.3">
      <c r="A365" t="s">
        <v>395</v>
      </c>
      <c r="B365" t="s">
        <v>31</v>
      </c>
      <c r="C365" t="s">
        <v>27</v>
      </c>
      <c r="D365" t="s">
        <v>1032</v>
      </c>
      <c r="E365" t="s">
        <v>19</v>
      </c>
      <c r="F365" t="s">
        <v>18</v>
      </c>
      <c r="G365">
        <v>4778</v>
      </c>
      <c r="H365">
        <v>0</v>
      </c>
      <c r="I365">
        <v>248</v>
      </c>
      <c r="J365">
        <v>240</v>
      </c>
      <c r="K365">
        <v>1</v>
      </c>
      <c r="L365" t="s">
        <v>29</v>
      </c>
      <c r="M365" t="s">
        <v>21</v>
      </c>
      <c r="N365">
        <v>4778</v>
      </c>
      <c r="O365" t="s">
        <v>35</v>
      </c>
      <c r="P365" t="s">
        <v>23</v>
      </c>
    </row>
    <row r="366" spans="1:16" x14ac:dyDescent="0.3">
      <c r="A366" t="s">
        <v>396</v>
      </c>
      <c r="B366" t="s">
        <v>31</v>
      </c>
      <c r="C366" t="s">
        <v>18</v>
      </c>
      <c r="D366" t="s">
        <v>1032</v>
      </c>
      <c r="E366" t="s">
        <v>28</v>
      </c>
      <c r="F366" t="s">
        <v>27</v>
      </c>
      <c r="G366">
        <v>7025</v>
      </c>
      <c r="H366">
        <v>579</v>
      </c>
      <c r="I366">
        <v>302</v>
      </c>
      <c r="J366">
        <v>180</v>
      </c>
      <c r="K366">
        <v>1</v>
      </c>
      <c r="L366" t="s">
        <v>34</v>
      </c>
      <c r="M366" t="s">
        <v>21</v>
      </c>
      <c r="N366">
        <v>7604</v>
      </c>
      <c r="O366" t="s">
        <v>22</v>
      </c>
      <c r="P366" t="s">
        <v>23</v>
      </c>
    </row>
    <row r="367" spans="1:16" x14ac:dyDescent="0.3">
      <c r="A367" t="s">
        <v>397</v>
      </c>
      <c r="B367" t="s">
        <v>31</v>
      </c>
      <c r="C367" t="s">
        <v>27</v>
      </c>
      <c r="D367" t="s">
        <v>1032</v>
      </c>
      <c r="E367" t="s">
        <v>19</v>
      </c>
      <c r="F367" t="s">
        <v>27</v>
      </c>
      <c r="G367">
        <v>17227</v>
      </c>
      <c r="H367">
        <v>8083</v>
      </c>
      <c r="I367">
        <v>417</v>
      </c>
      <c r="J367">
        <v>240</v>
      </c>
      <c r="K367">
        <v>1</v>
      </c>
      <c r="L367" t="s">
        <v>20</v>
      </c>
      <c r="M367" t="s">
        <v>21</v>
      </c>
      <c r="N367">
        <v>25310</v>
      </c>
      <c r="O367" t="s">
        <v>25</v>
      </c>
      <c r="P367" t="s">
        <v>23</v>
      </c>
    </row>
    <row r="368" spans="1:16" x14ac:dyDescent="0.3">
      <c r="A368" t="s">
        <v>398</v>
      </c>
      <c r="B368" t="s">
        <v>17</v>
      </c>
      <c r="C368" t="s">
        <v>18</v>
      </c>
      <c r="D368" t="s">
        <v>1032</v>
      </c>
      <c r="E368" t="s">
        <v>19</v>
      </c>
      <c r="F368" t="s">
        <v>18</v>
      </c>
      <c r="G368">
        <v>10125</v>
      </c>
      <c r="H368">
        <v>0</v>
      </c>
      <c r="I368">
        <v>127</v>
      </c>
      <c r="J368">
        <v>120</v>
      </c>
      <c r="K368">
        <v>0</v>
      </c>
      <c r="L368" t="s">
        <v>34</v>
      </c>
      <c r="M368" t="s">
        <v>21</v>
      </c>
      <c r="N368">
        <v>10125</v>
      </c>
      <c r="O368" t="s">
        <v>25</v>
      </c>
      <c r="P368" t="s">
        <v>32</v>
      </c>
    </row>
    <row r="369" spans="1:16" x14ac:dyDescent="0.3">
      <c r="A369" t="s">
        <v>399</v>
      </c>
      <c r="B369" t="s">
        <v>17</v>
      </c>
      <c r="C369" t="s">
        <v>27</v>
      </c>
      <c r="D369" t="s">
        <v>1033</v>
      </c>
      <c r="E369" t="s">
        <v>19</v>
      </c>
      <c r="F369" t="s">
        <v>27</v>
      </c>
      <c r="G369">
        <v>19308</v>
      </c>
      <c r="H369">
        <v>9342</v>
      </c>
      <c r="I369">
        <v>202</v>
      </c>
      <c r="J369">
        <v>240</v>
      </c>
      <c r="K369">
        <v>1</v>
      </c>
      <c r="L369" t="s">
        <v>34</v>
      </c>
      <c r="M369" t="s">
        <v>21</v>
      </c>
      <c r="N369">
        <v>28650</v>
      </c>
      <c r="O369" t="s">
        <v>25</v>
      </c>
      <c r="P369" t="s">
        <v>23</v>
      </c>
    </row>
    <row r="370" spans="1:16" x14ac:dyDescent="0.3">
      <c r="A370" t="s">
        <v>400</v>
      </c>
      <c r="B370" t="s">
        <v>31</v>
      </c>
      <c r="C370" t="s">
        <v>18</v>
      </c>
      <c r="D370" t="s">
        <v>1035</v>
      </c>
      <c r="E370" t="s">
        <v>19</v>
      </c>
      <c r="F370" t="s">
        <v>27</v>
      </c>
      <c r="G370">
        <v>13423</v>
      </c>
      <c r="H370">
        <v>0</v>
      </c>
      <c r="I370">
        <v>294</v>
      </c>
      <c r="J370">
        <v>360</v>
      </c>
      <c r="K370">
        <v>1</v>
      </c>
      <c r="L370" t="s">
        <v>34</v>
      </c>
      <c r="M370" t="s">
        <v>21</v>
      </c>
      <c r="N370">
        <v>13423</v>
      </c>
      <c r="O370" t="s">
        <v>25</v>
      </c>
      <c r="P370" t="s">
        <v>23</v>
      </c>
    </row>
    <row r="371" spans="1:16" x14ac:dyDescent="0.3">
      <c r="A371" t="s">
        <v>401</v>
      </c>
      <c r="B371" t="s">
        <v>17</v>
      </c>
      <c r="C371" t="s">
        <v>27</v>
      </c>
      <c r="D371" t="s">
        <v>1033</v>
      </c>
      <c r="E371" t="s">
        <v>19</v>
      </c>
      <c r="F371" t="s">
        <v>18</v>
      </c>
      <c r="G371">
        <v>17343</v>
      </c>
      <c r="H371">
        <v>0</v>
      </c>
      <c r="I371">
        <v>274</v>
      </c>
      <c r="J371">
        <v>300</v>
      </c>
      <c r="K371">
        <v>1</v>
      </c>
      <c r="L371" t="s">
        <v>29</v>
      </c>
      <c r="M371" t="s">
        <v>21</v>
      </c>
      <c r="N371">
        <v>17343</v>
      </c>
      <c r="O371" t="s">
        <v>25</v>
      </c>
      <c r="P371" t="s">
        <v>23</v>
      </c>
    </row>
    <row r="372" spans="1:16" x14ac:dyDescent="0.3">
      <c r="A372" t="s">
        <v>402</v>
      </c>
      <c r="B372" t="s">
        <v>31</v>
      </c>
      <c r="C372" t="s">
        <v>18</v>
      </c>
      <c r="D372" t="s">
        <v>1034</v>
      </c>
      <c r="E372" t="s">
        <v>19</v>
      </c>
      <c r="F372" t="s">
        <v>27</v>
      </c>
      <c r="G372">
        <v>14217</v>
      </c>
      <c r="H372">
        <v>8195</v>
      </c>
      <c r="I372">
        <v>97</v>
      </c>
      <c r="J372">
        <v>120</v>
      </c>
      <c r="K372">
        <v>0</v>
      </c>
      <c r="L372" t="s">
        <v>29</v>
      </c>
      <c r="M372" t="s">
        <v>21</v>
      </c>
      <c r="N372">
        <v>22412</v>
      </c>
      <c r="O372" t="s">
        <v>25</v>
      </c>
      <c r="P372" t="s">
        <v>32</v>
      </c>
    </row>
    <row r="373" spans="1:16" x14ac:dyDescent="0.3">
      <c r="A373" t="s">
        <v>403</v>
      </c>
      <c r="B373" t="s">
        <v>17</v>
      </c>
      <c r="C373" t="s">
        <v>27</v>
      </c>
      <c r="D373" t="s">
        <v>1032</v>
      </c>
      <c r="E373" t="s">
        <v>19</v>
      </c>
      <c r="F373" t="s">
        <v>27</v>
      </c>
      <c r="G373">
        <v>22919</v>
      </c>
      <c r="H373">
        <v>6701</v>
      </c>
      <c r="I373">
        <v>651</v>
      </c>
      <c r="J373">
        <v>120</v>
      </c>
      <c r="K373">
        <v>1</v>
      </c>
      <c r="L373" t="s">
        <v>29</v>
      </c>
      <c r="M373" t="s">
        <v>21</v>
      </c>
      <c r="N373">
        <v>29620</v>
      </c>
      <c r="O373" t="s">
        <v>25</v>
      </c>
      <c r="P373" t="s">
        <v>23</v>
      </c>
    </row>
    <row r="374" spans="1:16" x14ac:dyDescent="0.3">
      <c r="A374" t="s">
        <v>404</v>
      </c>
      <c r="B374" t="s">
        <v>17</v>
      </c>
      <c r="C374" t="s">
        <v>27</v>
      </c>
      <c r="D374" t="s">
        <v>1032</v>
      </c>
      <c r="E374" t="s">
        <v>28</v>
      </c>
      <c r="F374" t="s">
        <v>27</v>
      </c>
      <c r="G374">
        <v>17297</v>
      </c>
      <c r="H374">
        <v>0</v>
      </c>
      <c r="I374">
        <v>563</v>
      </c>
      <c r="J374">
        <v>180</v>
      </c>
      <c r="K374">
        <v>1</v>
      </c>
      <c r="L374" t="s">
        <v>20</v>
      </c>
      <c r="M374" t="s">
        <v>21</v>
      </c>
      <c r="N374">
        <v>17297</v>
      </c>
      <c r="O374" t="s">
        <v>25</v>
      </c>
      <c r="P374" t="s">
        <v>23</v>
      </c>
    </row>
    <row r="375" spans="1:16" x14ac:dyDescent="0.3">
      <c r="A375" t="s">
        <v>405</v>
      </c>
      <c r="B375" t="s">
        <v>17</v>
      </c>
      <c r="C375" t="s">
        <v>27</v>
      </c>
      <c r="D375" t="s">
        <v>1033</v>
      </c>
      <c r="E375" t="s">
        <v>19</v>
      </c>
      <c r="F375" t="s">
        <v>18</v>
      </c>
      <c r="G375">
        <v>6656</v>
      </c>
      <c r="H375">
        <v>0</v>
      </c>
      <c r="I375">
        <v>285</v>
      </c>
      <c r="J375">
        <v>300</v>
      </c>
      <c r="K375">
        <v>0</v>
      </c>
      <c r="L375" t="s">
        <v>34</v>
      </c>
      <c r="M375" t="s">
        <v>53</v>
      </c>
      <c r="N375">
        <v>6656</v>
      </c>
      <c r="O375" t="s">
        <v>22</v>
      </c>
      <c r="P375" t="s">
        <v>32</v>
      </c>
    </row>
    <row r="376" spans="1:16" x14ac:dyDescent="0.3">
      <c r="A376" t="s">
        <v>406</v>
      </c>
      <c r="B376" t="s">
        <v>17</v>
      </c>
      <c r="C376" t="s">
        <v>27</v>
      </c>
      <c r="D376" t="s">
        <v>1035</v>
      </c>
      <c r="E376" t="s">
        <v>28</v>
      </c>
      <c r="F376" t="s">
        <v>18</v>
      </c>
      <c r="G376">
        <v>20859</v>
      </c>
      <c r="H376">
        <v>3141</v>
      </c>
      <c r="I376">
        <v>72</v>
      </c>
      <c r="J376">
        <v>180</v>
      </c>
      <c r="K376">
        <v>1</v>
      </c>
      <c r="L376" t="s">
        <v>34</v>
      </c>
      <c r="M376" t="s">
        <v>21</v>
      </c>
      <c r="N376">
        <v>24000</v>
      </c>
      <c r="O376" t="s">
        <v>25</v>
      </c>
      <c r="P376" t="s">
        <v>23</v>
      </c>
    </row>
    <row r="377" spans="1:16" x14ac:dyDescent="0.3">
      <c r="A377" t="s">
        <v>407</v>
      </c>
      <c r="B377" t="s">
        <v>17</v>
      </c>
      <c r="C377" t="s">
        <v>18</v>
      </c>
      <c r="D377" t="s">
        <v>1034</v>
      </c>
      <c r="E377" t="s">
        <v>19</v>
      </c>
      <c r="F377" t="s">
        <v>18</v>
      </c>
      <c r="G377">
        <v>6950</v>
      </c>
      <c r="H377">
        <v>0</v>
      </c>
      <c r="I377">
        <v>579</v>
      </c>
      <c r="J377">
        <v>300</v>
      </c>
      <c r="K377">
        <v>1</v>
      </c>
      <c r="L377" t="s">
        <v>34</v>
      </c>
      <c r="M377" t="s">
        <v>21</v>
      </c>
      <c r="N377">
        <v>6950</v>
      </c>
      <c r="O377" t="s">
        <v>22</v>
      </c>
      <c r="P377" t="s">
        <v>23</v>
      </c>
    </row>
    <row r="378" spans="1:16" x14ac:dyDescent="0.3">
      <c r="A378" t="s">
        <v>408</v>
      </c>
      <c r="B378" t="s">
        <v>17</v>
      </c>
      <c r="C378" t="s">
        <v>27</v>
      </c>
      <c r="D378" t="s">
        <v>1034</v>
      </c>
      <c r="E378" t="s">
        <v>19</v>
      </c>
      <c r="F378" t="s">
        <v>27</v>
      </c>
      <c r="G378">
        <v>21374</v>
      </c>
      <c r="H378">
        <v>8223</v>
      </c>
      <c r="I378">
        <v>224</v>
      </c>
      <c r="J378">
        <v>180</v>
      </c>
      <c r="K378">
        <v>0</v>
      </c>
      <c r="L378" t="s">
        <v>34</v>
      </c>
      <c r="M378" t="s">
        <v>21</v>
      </c>
      <c r="N378">
        <v>29597</v>
      </c>
      <c r="O378" t="s">
        <v>25</v>
      </c>
      <c r="P378" t="s">
        <v>32</v>
      </c>
    </row>
    <row r="379" spans="1:16" x14ac:dyDescent="0.3">
      <c r="A379" t="s">
        <v>409</v>
      </c>
      <c r="B379" t="s">
        <v>17</v>
      </c>
      <c r="C379" t="s">
        <v>18</v>
      </c>
      <c r="D379" t="s">
        <v>1032</v>
      </c>
      <c r="E379" t="s">
        <v>19</v>
      </c>
      <c r="F379" t="s">
        <v>27</v>
      </c>
      <c r="G379">
        <v>16359</v>
      </c>
      <c r="H379">
        <v>0</v>
      </c>
      <c r="I379">
        <v>285</v>
      </c>
      <c r="J379">
        <v>300</v>
      </c>
      <c r="K379">
        <v>1</v>
      </c>
      <c r="L379" t="s">
        <v>20</v>
      </c>
      <c r="M379" t="s">
        <v>21</v>
      </c>
      <c r="N379">
        <v>16359</v>
      </c>
      <c r="O379" t="s">
        <v>25</v>
      </c>
      <c r="P379" t="s">
        <v>23</v>
      </c>
    </row>
    <row r="380" spans="1:16" x14ac:dyDescent="0.3">
      <c r="A380" t="s">
        <v>410</v>
      </c>
      <c r="B380" t="s">
        <v>17</v>
      </c>
      <c r="C380" t="s">
        <v>18</v>
      </c>
      <c r="D380" t="s">
        <v>1035</v>
      </c>
      <c r="E380" t="s">
        <v>19</v>
      </c>
      <c r="F380" t="s">
        <v>18</v>
      </c>
      <c r="G380">
        <v>7313</v>
      </c>
      <c r="H380">
        <v>0</v>
      </c>
      <c r="I380">
        <v>594</v>
      </c>
      <c r="J380">
        <v>360</v>
      </c>
      <c r="K380">
        <v>1</v>
      </c>
      <c r="L380" t="s">
        <v>20</v>
      </c>
      <c r="M380" t="s">
        <v>21</v>
      </c>
      <c r="N380">
        <v>7313</v>
      </c>
      <c r="O380" t="s">
        <v>22</v>
      </c>
      <c r="P380" t="s">
        <v>23</v>
      </c>
    </row>
    <row r="381" spans="1:16" x14ac:dyDescent="0.3">
      <c r="A381" t="s">
        <v>411</v>
      </c>
      <c r="B381" t="s">
        <v>31</v>
      </c>
      <c r="C381" t="s">
        <v>18</v>
      </c>
      <c r="D381" t="s">
        <v>1034</v>
      </c>
      <c r="E381" t="s">
        <v>28</v>
      </c>
      <c r="F381" t="s">
        <v>27</v>
      </c>
      <c r="G381">
        <v>13636</v>
      </c>
      <c r="H381">
        <v>0</v>
      </c>
      <c r="I381">
        <v>592</v>
      </c>
      <c r="J381">
        <v>300</v>
      </c>
      <c r="K381">
        <v>1</v>
      </c>
      <c r="L381" t="s">
        <v>29</v>
      </c>
      <c r="M381" t="s">
        <v>21</v>
      </c>
      <c r="N381">
        <v>13636</v>
      </c>
      <c r="O381" t="s">
        <v>25</v>
      </c>
      <c r="P381" t="s">
        <v>23</v>
      </c>
    </row>
    <row r="382" spans="1:16" x14ac:dyDescent="0.3">
      <c r="A382" t="s">
        <v>412</v>
      </c>
      <c r="B382" t="s">
        <v>31</v>
      </c>
      <c r="C382" t="s">
        <v>27</v>
      </c>
      <c r="D382" t="s">
        <v>1034</v>
      </c>
      <c r="E382" t="s">
        <v>28</v>
      </c>
      <c r="F382" t="s">
        <v>18</v>
      </c>
      <c r="G382">
        <v>9840</v>
      </c>
      <c r="H382">
        <v>0</v>
      </c>
      <c r="I382">
        <v>135</v>
      </c>
      <c r="J382">
        <v>240</v>
      </c>
      <c r="K382">
        <v>1</v>
      </c>
      <c r="L382" t="s">
        <v>34</v>
      </c>
      <c r="M382" t="s">
        <v>21</v>
      </c>
      <c r="N382">
        <v>9840</v>
      </c>
      <c r="O382" t="s">
        <v>22</v>
      </c>
      <c r="P382" t="s">
        <v>23</v>
      </c>
    </row>
    <row r="383" spans="1:16" x14ac:dyDescent="0.3">
      <c r="A383" t="s">
        <v>413</v>
      </c>
      <c r="B383" t="s">
        <v>31</v>
      </c>
      <c r="C383" t="s">
        <v>27</v>
      </c>
      <c r="D383" t="s">
        <v>1033</v>
      </c>
      <c r="E383" t="s">
        <v>19</v>
      </c>
      <c r="F383" t="s">
        <v>18</v>
      </c>
      <c r="G383">
        <v>20439</v>
      </c>
      <c r="H383">
        <v>0</v>
      </c>
      <c r="I383">
        <v>582</v>
      </c>
      <c r="J383">
        <v>120</v>
      </c>
      <c r="K383">
        <v>1</v>
      </c>
      <c r="L383" t="s">
        <v>20</v>
      </c>
      <c r="M383" t="s">
        <v>21</v>
      </c>
      <c r="N383">
        <v>20439</v>
      </c>
      <c r="O383" t="s">
        <v>25</v>
      </c>
      <c r="P383" t="s">
        <v>23</v>
      </c>
    </row>
    <row r="384" spans="1:16" x14ac:dyDescent="0.3">
      <c r="A384" t="s">
        <v>414</v>
      </c>
      <c r="B384" t="s">
        <v>31</v>
      </c>
      <c r="C384" t="s">
        <v>27</v>
      </c>
      <c r="D384" t="s">
        <v>1032</v>
      </c>
      <c r="E384" t="s">
        <v>19</v>
      </c>
      <c r="F384" t="s">
        <v>18</v>
      </c>
      <c r="G384">
        <v>15461</v>
      </c>
      <c r="H384">
        <v>11175</v>
      </c>
      <c r="I384">
        <v>317</v>
      </c>
      <c r="J384">
        <v>360</v>
      </c>
      <c r="K384">
        <v>1</v>
      </c>
      <c r="L384" t="s">
        <v>29</v>
      </c>
      <c r="M384" t="s">
        <v>21</v>
      </c>
      <c r="N384">
        <v>26636</v>
      </c>
      <c r="O384" t="s">
        <v>25</v>
      </c>
      <c r="P384" t="s">
        <v>23</v>
      </c>
    </row>
    <row r="385" spans="1:16" x14ac:dyDescent="0.3">
      <c r="A385" t="s">
        <v>415</v>
      </c>
      <c r="B385" t="s">
        <v>31</v>
      </c>
      <c r="C385" t="s">
        <v>27</v>
      </c>
      <c r="D385" t="s">
        <v>1033</v>
      </c>
      <c r="E385" t="s">
        <v>28</v>
      </c>
      <c r="F385" t="s">
        <v>27</v>
      </c>
      <c r="G385">
        <v>7356</v>
      </c>
      <c r="H385">
        <v>6565</v>
      </c>
      <c r="I385">
        <v>309</v>
      </c>
      <c r="J385">
        <v>240</v>
      </c>
      <c r="K385">
        <v>1</v>
      </c>
      <c r="L385" t="s">
        <v>34</v>
      </c>
      <c r="M385" t="s">
        <v>21</v>
      </c>
      <c r="N385">
        <v>13921</v>
      </c>
      <c r="O385" t="s">
        <v>25</v>
      </c>
      <c r="P385" t="s">
        <v>23</v>
      </c>
    </row>
    <row r="386" spans="1:16" x14ac:dyDescent="0.3">
      <c r="A386" t="s">
        <v>416</v>
      </c>
      <c r="B386" t="s">
        <v>31</v>
      </c>
      <c r="C386" t="s">
        <v>18</v>
      </c>
      <c r="D386" t="s">
        <v>1034</v>
      </c>
      <c r="E386" t="s">
        <v>19</v>
      </c>
      <c r="F386" t="s">
        <v>27</v>
      </c>
      <c r="G386">
        <v>24415</v>
      </c>
      <c r="H386">
        <v>0</v>
      </c>
      <c r="I386">
        <v>269</v>
      </c>
      <c r="J386">
        <v>360</v>
      </c>
      <c r="K386">
        <v>1</v>
      </c>
      <c r="L386" t="s">
        <v>29</v>
      </c>
      <c r="M386" t="s">
        <v>21</v>
      </c>
      <c r="N386">
        <v>24415</v>
      </c>
      <c r="O386" t="s">
        <v>25</v>
      </c>
      <c r="P386" t="s">
        <v>23</v>
      </c>
    </row>
    <row r="387" spans="1:16" x14ac:dyDescent="0.3">
      <c r="A387" t="s">
        <v>417</v>
      </c>
      <c r="B387" t="s">
        <v>17</v>
      </c>
      <c r="C387" t="s">
        <v>18</v>
      </c>
      <c r="D387" t="s">
        <v>1035</v>
      </c>
      <c r="E387" t="s">
        <v>19</v>
      </c>
      <c r="F387" t="s">
        <v>18</v>
      </c>
      <c r="G387">
        <v>6262</v>
      </c>
      <c r="H387">
        <v>8227</v>
      </c>
      <c r="I387">
        <v>140</v>
      </c>
      <c r="J387">
        <v>120</v>
      </c>
      <c r="K387">
        <v>1</v>
      </c>
      <c r="L387" t="s">
        <v>29</v>
      </c>
      <c r="M387" t="s">
        <v>21</v>
      </c>
      <c r="N387">
        <v>14489</v>
      </c>
      <c r="O387" t="s">
        <v>25</v>
      </c>
      <c r="P387" t="s">
        <v>23</v>
      </c>
    </row>
    <row r="388" spans="1:16" x14ac:dyDescent="0.3">
      <c r="A388" t="s">
        <v>418</v>
      </c>
      <c r="B388" t="s">
        <v>17</v>
      </c>
      <c r="C388" t="s">
        <v>18</v>
      </c>
      <c r="D388" t="s">
        <v>1035</v>
      </c>
      <c r="E388" t="s">
        <v>28</v>
      </c>
      <c r="F388" t="s">
        <v>27</v>
      </c>
      <c r="G388">
        <v>24817</v>
      </c>
      <c r="H388">
        <v>0</v>
      </c>
      <c r="I388">
        <v>229</v>
      </c>
      <c r="J388">
        <v>300</v>
      </c>
      <c r="K388">
        <v>1</v>
      </c>
      <c r="L388" t="s">
        <v>20</v>
      </c>
      <c r="M388" t="s">
        <v>21</v>
      </c>
      <c r="N388">
        <v>24817</v>
      </c>
      <c r="O388" t="s">
        <v>25</v>
      </c>
      <c r="P388" t="s">
        <v>23</v>
      </c>
    </row>
    <row r="389" spans="1:16" x14ac:dyDescent="0.3">
      <c r="A389" t="s">
        <v>419</v>
      </c>
      <c r="B389" t="s">
        <v>31</v>
      </c>
      <c r="C389" t="s">
        <v>18</v>
      </c>
      <c r="D389" t="s">
        <v>1034</v>
      </c>
      <c r="E389" t="s">
        <v>19</v>
      </c>
      <c r="F389" t="s">
        <v>18</v>
      </c>
      <c r="G389">
        <v>23586</v>
      </c>
      <c r="H389">
        <v>1090</v>
      </c>
      <c r="I389">
        <v>294</v>
      </c>
      <c r="J389">
        <v>120</v>
      </c>
      <c r="K389">
        <v>0</v>
      </c>
      <c r="L389" t="s">
        <v>20</v>
      </c>
      <c r="M389" t="s">
        <v>21</v>
      </c>
      <c r="N389">
        <v>24676</v>
      </c>
      <c r="O389" t="s">
        <v>25</v>
      </c>
      <c r="P389" t="s">
        <v>32</v>
      </c>
    </row>
    <row r="390" spans="1:16" x14ac:dyDescent="0.3">
      <c r="A390" t="s">
        <v>420</v>
      </c>
      <c r="B390" t="s">
        <v>31</v>
      </c>
      <c r="C390" t="s">
        <v>27</v>
      </c>
      <c r="D390" t="s">
        <v>1032</v>
      </c>
      <c r="E390" t="s">
        <v>28</v>
      </c>
      <c r="F390" t="s">
        <v>27</v>
      </c>
      <c r="G390">
        <v>20704</v>
      </c>
      <c r="H390">
        <v>0</v>
      </c>
      <c r="I390">
        <v>120</v>
      </c>
      <c r="J390">
        <v>120</v>
      </c>
      <c r="K390">
        <v>1</v>
      </c>
      <c r="L390" t="s">
        <v>34</v>
      </c>
      <c r="M390" t="s">
        <v>21</v>
      </c>
      <c r="N390">
        <v>20704</v>
      </c>
      <c r="O390" t="s">
        <v>25</v>
      </c>
      <c r="P390" t="s">
        <v>23</v>
      </c>
    </row>
    <row r="391" spans="1:16" x14ac:dyDescent="0.3">
      <c r="A391" t="s">
        <v>421</v>
      </c>
      <c r="B391" t="s">
        <v>31</v>
      </c>
      <c r="C391" t="s">
        <v>27</v>
      </c>
      <c r="D391" t="s">
        <v>1032</v>
      </c>
      <c r="E391" t="s">
        <v>19</v>
      </c>
      <c r="F391" t="s">
        <v>18</v>
      </c>
      <c r="G391">
        <v>16401</v>
      </c>
      <c r="H391">
        <v>0</v>
      </c>
      <c r="I391">
        <v>317</v>
      </c>
      <c r="J391">
        <v>180</v>
      </c>
      <c r="K391">
        <v>1</v>
      </c>
      <c r="L391" t="s">
        <v>20</v>
      </c>
      <c r="M391" t="s">
        <v>21</v>
      </c>
      <c r="N391">
        <v>16401</v>
      </c>
      <c r="O391" t="s">
        <v>25</v>
      </c>
      <c r="P391" t="s">
        <v>23</v>
      </c>
    </row>
    <row r="392" spans="1:16" x14ac:dyDescent="0.3">
      <c r="A392" t="s">
        <v>422</v>
      </c>
      <c r="B392" t="s">
        <v>17</v>
      </c>
      <c r="C392" t="s">
        <v>27</v>
      </c>
      <c r="D392" t="s">
        <v>1032</v>
      </c>
      <c r="E392" t="s">
        <v>19</v>
      </c>
      <c r="F392" t="s">
        <v>27</v>
      </c>
      <c r="G392">
        <v>19126</v>
      </c>
      <c r="H392">
        <v>13822</v>
      </c>
      <c r="I392">
        <v>503</v>
      </c>
      <c r="J392">
        <v>300</v>
      </c>
      <c r="K392">
        <v>1</v>
      </c>
      <c r="L392" t="s">
        <v>20</v>
      </c>
      <c r="M392" t="s">
        <v>21</v>
      </c>
      <c r="N392">
        <v>32948</v>
      </c>
      <c r="O392" t="s">
        <v>25</v>
      </c>
      <c r="P392" t="s">
        <v>23</v>
      </c>
    </row>
    <row r="393" spans="1:16" x14ac:dyDescent="0.3">
      <c r="A393" t="s">
        <v>423</v>
      </c>
      <c r="B393" t="s">
        <v>31</v>
      </c>
      <c r="C393" t="s">
        <v>27</v>
      </c>
      <c r="D393" t="s">
        <v>1035</v>
      </c>
      <c r="E393" t="s">
        <v>19</v>
      </c>
      <c r="F393" t="s">
        <v>27</v>
      </c>
      <c r="G393">
        <v>5309</v>
      </c>
      <c r="H393">
        <v>0</v>
      </c>
      <c r="I393">
        <v>441</v>
      </c>
      <c r="J393">
        <v>180</v>
      </c>
      <c r="K393">
        <v>1</v>
      </c>
      <c r="L393" t="s">
        <v>20</v>
      </c>
      <c r="M393" t="s">
        <v>21</v>
      </c>
      <c r="N393">
        <v>5309</v>
      </c>
      <c r="O393" t="s">
        <v>22</v>
      </c>
      <c r="P393" t="s">
        <v>23</v>
      </c>
    </row>
    <row r="394" spans="1:16" x14ac:dyDescent="0.3">
      <c r="A394" t="s">
        <v>424</v>
      </c>
      <c r="B394" t="s">
        <v>31</v>
      </c>
      <c r="C394" t="s">
        <v>27</v>
      </c>
      <c r="D394" t="s">
        <v>1032</v>
      </c>
      <c r="E394" t="s">
        <v>19</v>
      </c>
      <c r="F394" t="s">
        <v>27</v>
      </c>
      <c r="G394">
        <v>9634</v>
      </c>
      <c r="H394">
        <v>0</v>
      </c>
      <c r="I394">
        <v>458</v>
      </c>
      <c r="J394">
        <v>240</v>
      </c>
      <c r="K394">
        <v>1</v>
      </c>
      <c r="L394" t="s">
        <v>20</v>
      </c>
      <c r="M394" t="s">
        <v>21</v>
      </c>
      <c r="N394">
        <v>9634</v>
      </c>
      <c r="O394" t="s">
        <v>22</v>
      </c>
      <c r="P394" t="s">
        <v>23</v>
      </c>
    </row>
    <row r="395" spans="1:16" x14ac:dyDescent="0.3">
      <c r="A395" t="s">
        <v>425</v>
      </c>
      <c r="B395" t="s">
        <v>31</v>
      </c>
      <c r="C395" t="s">
        <v>27</v>
      </c>
      <c r="D395" t="s">
        <v>1032</v>
      </c>
      <c r="E395" t="s">
        <v>19</v>
      </c>
      <c r="F395" t="s">
        <v>27</v>
      </c>
      <c r="G395">
        <v>7489</v>
      </c>
      <c r="H395">
        <v>0</v>
      </c>
      <c r="I395">
        <v>560</v>
      </c>
      <c r="J395">
        <v>180</v>
      </c>
      <c r="K395">
        <v>1</v>
      </c>
      <c r="L395" t="s">
        <v>20</v>
      </c>
      <c r="M395" t="s">
        <v>21</v>
      </c>
      <c r="N395">
        <v>7489</v>
      </c>
      <c r="O395" t="s">
        <v>22</v>
      </c>
      <c r="P395" t="s">
        <v>23</v>
      </c>
    </row>
    <row r="396" spans="1:16" x14ac:dyDescent="0.3">
      <c r="A396" t="s">
        <v>426</v>
      </c>
      <c r="B396" t="s">
        <v>31</v>
      </c>
      <c r="C396" t="s">
        <v>18</v>
      </c>
      <c r="D396" t="s">
        <v>1033</v>
      </c>
      <c r="E396" t="s">
        <v>19</v>
      </c>
      <c r="F396" t="s">
        <v>18</v>
      </c>
      <c r="G396">
        <v>21770</v>
      </c>
      <c r="H396">
        <v>0</v>
      </c>
      <c r="I396">
        <v>159</v>
      </c>
      <c r="J396">
        <v>120</v>
      </c>
      <c r="K396">
        <v>0</v>
      </c>
      <c r="L396" t="s">
        <v>34</v>
      </c>
      <c r="M396" t="s">
        <v>21</v>
      </c>
      <c r="N396">
        <v>21770</v>
      </c>
      <c r="O396" t="s">
        <v>25</v>
      </c>
      <c r="P396" t="s">
        <v>32</v>
      </c>
    </row>
    <row r="397" spans="1:16" x14ac:dyDescent="0.3">
      <c r="A397" t="s">
        <v>427</v>
      </c>
      <c r="B397" t="s">
        <v>31</v>
      </c>
      <c r="C397" t="s">
        <v>18</v>
      </c>
      <c r="D397" t="s">
        <v>1034</v>
      </c>
      <c r="E397" t="s">
        <v>28</v>
      </c>
      <c r="F397" t="s">
        <v>27</v>
      </c>
      <c r="G397">
        <v>21838</v>
      </c>
      <c r="H397">
        <v>5667</v>
      </c>
      <c r="I397">
        <v>638</v>
      </c>
      <c r="J397">
        <v>240</v>
      </c>
      <c r="K397">
        <v>1</v>
      </c>
      <c r="L397" t="s">
        <v>34</v>
      </c>
      <c r="M397" t="s">
        <v>21</v>
      </c>
      <c r="N397">
        <v>27505</v>
      </c>
      <c r="O397" t="s">
        <v>25</v>
      </c>
      <c r="P397" t="s">
        <v>23</v>
      </c>
    </row>
    <row r="398" spans="1:16" x14ac:dyDescent="0.3">
      <c r="A398" t="s">
        <v>428</v>
      </c>
      <c r="B398" t="s">
        <v>31</v>
      </c>
      <c r="C398" t="s">
        <v>27</v>
      </c>
      <c r="D398" t="s">
        <v>1033</v>
      </c>
      <c r="E398" t="s">
        <v>19</v>
      </c>
      <c r="F398" t="s">
        <v>18</v>
      </c>
      <c r="G398">
        <v>18727</v>
      </c>
      <c r="H398">
        <v>13595</v>
      </c>
      <c r="I398">
        <v>539</v>
      </c>
      <c r="J398">
        <v>360</v>
      </c>
      <c r="K398">
        <v>1</v>
      </c>
      <c r="L398" t="s">
        <v>29</v>
      </c>
      <c r="M398" t="s">
        <v>21</v>
      </c>
      <c r="N398">
        <v>32322</v>
      </c>
      <c r="O398" t="s">
        <v>25</v>
      </c>
      <c r="P398" t="s">
        <v>23</v>
      </c>
    </row>
    <row r="399" spans="1:16" x14ac:dyDescent="0.3">
      <c r="A399" t="s">
        <v>429</v>
      </c>
      <c r="B399" t="s">
        <v>31</v>
      </c>
      <c r="C399" t="s">
        <v>18</v>
      </c>
      <c r="D399" t="s">
        <v>1035</v>
      </c>
      <c r="E399" t="s">
        <v>19</v>
      </c>
      <c r="F399" t="s">
        <v>27</v>
      </c>
      <c r="G399">
        <v>11843</v>
      </c>
      <c r="H399">
        <v>0</v>
      </c>
      <c r="I399">
        <v>62</v>
      </c>
      <c r="J399">
        <v>180</v>
      </c>
      <c r="K399">
        <v>1</v>
      </c>
      <c r="L399" t="s">
        <v>20</v>
      </c>
      <c r="M399" t="s">
        <v>21</v>
      </c>
      <c r="N399">
        <v>11843</v>
      </c>
      <c r="O399" t="s">
        <v>25</v>
      </c>
      <c r="P399" t="s">
        <v>23</v>
      </c>
    </row>
    <row r="400" spans="1:16" x14ac:dyDescent="0.3">
      <c r="A400" t="s">
        <v>430</v>
      </c>
      <c r="B400" t="s">
        <v>31</v>
      </c>
      <c r="C400" t="s">
        <v>27</v>
      </c>
      <c r="D400" t="s">
        <v>1032</v>
      </c>
      <c r="E400" t="s">
        <v>19</v>
      </c>
      <c r="F400" t="s">
        <v>27</v>
      </c>
      <c r="G400">
        <v>9270</v>
      </c>
      <c r="H400">
        <v>4913</v>
      </c>
      <c r="I400">
        <v>677</v>
      </c>
      <c r="J400">
        <v>240</v>
      </c>
      <c r="K400">
        <v>1</v>
      </c>
      <c r="L400" t="s">
        <v>29</v>
      </c>
      <c r="M400" t="s">
        <v>21</v>
      </c>
      <c r="N400">
        <v>14183</v>
      </c>
      <c r="O400" t="s">
        <v>25</v>
      </c>
      <c r="P400" t="s">
        <v>23</v>
      </c>
    </row>
    <row r="401" spans="1:16" x14ac:dyDescent="0.3">
      <c r="A401" t="s">
        <v>431</v>
      </c>
      <c r="B401" t="s">
        <v>31</v>
      </c>
      <c r="C401" t="s">
        <v>18</v>
      </c>
      <c r="D401" t="s">
        <v>1035</v>
      </c>
      <c r="E401" t="s">
        <v>28</v>
      </c>
      <c r="F401" t="s">
        <v>27</v>
      </c>
      <c r="G401">
        <v>14626</v>
      </c>
      <c r="H401">
        <v>5081</v>
      </c>
      <c r="I401">
        <v>234</v>
      </c>
      <c r="J401">
        <v>360</v>
      </c>
      <c r="K401">
        <v>1</v>
      </c>
      <c r="L401" t="s">
        <v>34</v>
      </c>
      <c r="M401" t="s">
        <v>21</v>
      </c>
      <c r="N401">
        <v>19707</v>
      </c>
      <c r="O401" t="s">
        <v>25</v>
      </c>
      <c r="P401" t="s">
        <v>23</v>
      </c>
    </row>
    <row r="402" spans="1:16" x14ac:dyDescent="0.3">
      <c r="A402" t="s">
        <v>432</v>
      </c>
      <c r="B402" t="s">
        <v>17</v>
      </c>
      <c r="C402" t="s">
        <v>18</v>
      </c>
      <c r="D402" t="s">
        <v>1032</v>
      </c>
      <c r="E402" t="s">
        <v>19</v>
      </c>
      <c r="F402" t="s">
        <v>27</v>
      </c>
      <c r="G402">
        <v>13980</v>
      </c>
      <c r="H402">
        <v>0</v>
      </c>
      <c r="I402">
        <v>203</v>
      </c>
      <c r="J402">
        <v>300</v>
      </c>
      <c r="K402">
        <v>0</v>
      </c>
      <c r="L402" t="s">
        <v>20</v>
      </c>
      <c r="M402" t="s">
        <v>21</v>
      </c>
      <c r="N402">
        <v>13980</v>
      </c>
      <c r="O402" t="s">
        <v>25</v>
      </c>
      <c r="P402" t="s">
        <v>32</v>
      </c>
    </row>
    <row r="403" spans="1:16" x14ac:dyDescent="0.3">
      <c r="A403" t="s">
        <v>433</v>
      </c>
      <c r="B403" t="s">
        <v>31</v>
      </c>
      <c r="C403" t="s">
        <v>27</v>
      </c>
      <c r="D403" t="s">
        <v>1033</v>
      </c>
      <c r="E403" t="s">
        <v>28</v>
      </c>
      <c r="F403" t="s">
        <v>27</v>
      </c>
      <c r="G403">
        <v>11331</v>
      </c>
      <c r="H403">
        <v>0</v>
      </c>
      <c r="I403">
        <v>457</v>
      </c>
      <c r="J403">
        <v>120</v>
      </c>
      <c r="K403">
        <v>1</v>
      </c>
      <c r="L403" t="s">
        <v>20</v>
      </c>
      <c r="M403" t="s">
        <v>21</v>
      </c>
      <c r="N403">
        <v>11331</v>
      </c>
      <c r="O403" t="s">
        <v>25</v>
      </c>
      <c r="P403" t="s">
        <v>23</v>
      </c>
    </row>
    <row r="404" spans="1:16" x14ac:dyDescent="0.3">
      <c r="A404" t="s">
        <v>434</v>
      </c>
      <c r="B404" t="s">
        <v>17</v>
      </c>
      <c r="C404" t="s">
        <v>27</v>
      </c>
      <c r="D404" t="s">
        <v>1035</v>
      </c>
      <c r="E404" t="s">
        <v>19</v>
      </c>
      <c r="F404" t="s">
        <v>27</v>
      </c>
      <c r="G404">
        <v>12466</v>
      </c>
      <c r="H404">
        <v>4756</v>
      </c>
      <c r="I404">
        <v>418</v>
      </c>
      <c r="J404">
        <v>360</v>
      </c>
      <c r="K404">
        <v>1</v>
      </c>
      <c r="L404" t="s">
        <v>29</v>
      </c>
      <c r="M404" t="s">
        <v>21</v>
      </c>
      <c r="N404">
        <v>17222</v>
      </c>
      <c r="O404" t="s">
        <v>25</v>
      </c>
      <c r="P404" t="s">
        <v>23</v>
      </c>
    </row>
    <row r="405" spans="1:16" x14ac:dyDescent="0.3">
      <c r="A405" t="s">
        <v>435</v>
      </c>
      <c r="B405" t="s">
        <v>31</v>
      </c>
      <c r="C405" t="s">
        <v>18</v>
      </c>
      <c r="D405" t="s">
        <v>1035</v>
      </c>
      <c r="E405" t="s">
        <v>19</v>
      </c>
      <c r="F405" t="s">
        <v>27</v>
      </c>
      <c r="G405">
        <v>23768</v>
      </c>
      <c r="H405">
        <v>0</v>
      </c>
      <c r="I405">
        <v>640</v>
      </c>
      <c r="J405">
        <v>360</v>
      </c>
      <c r="K405">
        <v>1</v>
      </c>
      <c r="L405" t="s">
        <v>34</v>
      </c>
      <c r="M405" t="s">
        <v>21</v>
      </c>
      <c r="N405">
        <v>23768</v>
      </c>
      <c r="O405" t="s">
        <v>25</v>
      </c>
      <c r="P405" t="s">
        <v>23</v>
      </c>
    </row>
    <row r="406" spans="1:16" x14ac:dyDescent="0.3">
      <c r="A406" t="s">
        <v>436</v>
      </c>
      <c r="B406" t="s">
        <v>17</v>
      </c>
      <c r="C406" t="s">
        <v>27</v>
      </c>
      <c r="D406" t="s">
        <v>1032</v>
      </c>
      <c r="E406" t="s">
        <v>28</v>
      </c>
      <c r="F406" t="s">
        <v>27</v>
      </c>
      <c r="G406">
        <v>16145</v>
      </c>
      <c r="H406">
        <v>1784</v>
      </c>
      <c r="I406">
        <v>678</v>
      </c>
      <c r="J406">
        <v>240</v>
      </c>
      <c r="K406">
        <v>1</v>
      </c>
      <c r="L406" t="s">
        <v>20</v>
      </c>
      <c r="M406" t="s">
        <v>21</v>
      </c>
      <c r="N406">
        <v>17929</v>
      </c>
      <c r="O406" t="s">
        <v>25</v>
      </c>
      <c r="P406" t="s">
        <v>23</v>
      </c>
    </row>
    <row r="407" spans="1:16" x14ac:dyDescent="0.3">
      <c r="A407" t="s">
        <v>437</v>
      </c>
      <c r="B407" t="s">
        <v>17</v>
      </c>
      <c r="C407" t="s">
        <v>27</v>
      </c>
      <c r="D407" t="s">
        <v>1035</v>
      </c>
      <c r="E407" t="s">
        <v>28</v>
      </c>
      <c r="F407" t="s">
        <v>18</v>
      </c>
      <c r="G407">
        <v>4092</v>
      </c>
      <c r="H407">
        <v>3154</v>
      </c>
      <c r="I407">
        <v>283</v>
      </c>
      <c r="J407">
        <v>240</v>
      </c>
      <c r="K407">
        <v>1</v>
      </c>
      <c r="L407" t="s">
        <v>29</v>
      </c>
      <c r="M407" t="s">
        <v>21</v>
      </c>
      <c r="N407">
        <v>7246</v>
      </c>
      <c r="O407" t="s">
        <v>22</v>
      </c>
      <c r="P407" t="s">
        <v>23</v>
      </c>
    </row>
    <row r="408" spans="1:16" x14ac:dyDescent="0.3">
      <c r="A408" t="s">
        <v>438</v>
      </c>
      <c r="B408" t="s">
        <v>31</v>
      </c>
      <c r="C408" t="s">
        <v>27</v>
      </c>
      <c r="D408" t="s">
        <v>1032</v>
      </c>
      <c r="E408" t="s">
        <v>28</v>
      </c>
      <c r="F408" t="s">
        <v>27</v>
      </c>
      <c r="G408">
        <v>20732</v>
      </c>
      <c r="H408">
        <v>9035</v>
      </c>
      <c r="I408">
        <v>473</v>
      </c>
      <c r="J408">
        <v>180</v>
      </c>
      <c r="K408">
        <v>1</v>
      </c>
      <c r="L408" t="s">
        <v>20</v>
      </c>
      <c r="M408" t="s">
        <v>21</v>
      </c>
      <c r="N408">
        <v>29767</v>
      </c>
      <c r="O408" t="s">
        <v>25</v>
      </c>
      <c r="P408" t="s">
        <v>23</v>
      </c>
    </row>
    <row r="409" spans="1:16" x14ac:dyDescent="0.3">
      <c r="A409" t="s">
        <v>439</v>
      </c>
      <c r="B409" t="s">
        <v>17</v>
      </c>
      <c r="C409" t="s">
        <v>18</v>
      </c>
      <c r="D409" t="s">
        <v>1032</v>
      </c>
      <c r="E409" t="s">
        <v>19</v>
      </c>
      <c r="F409" t="s">
        <v>18</v>
      </c>
      <c r="G409">
        <v>6969</v>
      </c>
      <c r="H409">
        <v>0</v>
      </c>
      <c r="I409">
        <v>147</v>
      </c>
      <c r="J409">
        <v>120</v>
      </c>
      <c r="K409">
        <v>0</v>
      </c>
      <c r="L409" t="s">
        <v>29</v>
      </c>
      <c r="M409" t="s">
        <v>53</v>
      </c>
      <c r="N409">
        <v>6969</v>
      </c>
      <c r="O409" t="s">
        <v>22</v>
      </c>
      <c r="P409" t="s">
        <v>32</v>
      </c>
    </row>
    <row r="410" spans="1:16" x14ac:dyDescent="0.3">
      <c r="A410" t="s">
        <v>440</v>
      </c>
      <c r="B410" t="s">
        <v>17</v>
      </c>
      <c r="C410" t="s">
        <v>18</v>
      </c>
      <c r="D410" t="s">
        <v>1035</v>
      </c>
      <c r="E410" t="s">
        <v>19</v>
      </c>
      <c r="F410" t="s">
        <v>18</v>
      </c>
      <c r="G410">
        <v>10100</v>
      </c>
      <c r="H410">
        <v>0</v>
      </c>
      <c r="I410">
        <v>136</v>
      </c>
      <c r="J410">
        <v>300</v>
      </c>
      <c r="K410">
        <v>1</v>
      </c>
      <c r="L410" t="s">
        <v>20</v>
      </c>
      <c r="M410" t="s">
        <v>21</v>
      </c>
      <c r="N410">
        <v>10100</v>
      </c>
      <c r="O410" t="s">
        <v>25</v>
      </c>
      <c r="P410" t="s">
        <v>23</v>
      </c>
    </row>
    <row r="411" spans="1:16" x14ac:dyDescent="0.3">
      <c r="A411" t="s">
        <v>441</v>
      </c>
      <c r="B411" t="s">
        <v>31</v>
      </c>
      <c r="C411" t="s">
        <v>27</v>
      </c>
      <c r="D411" t="s">
        <v>1033</v>
      </c>
      <c r="E411" t="s">
        <v>19</v>
      </c>
      <c r="F411" t="s">
        <v>18</v>
      </c>
      <c r="G411">
        <v>2436</v>
      </c>
      <c r="H411">
        <v>1075</v>
      </c>
      <c r="I411">
        <v>383</v>
      </c>
      <c r="J411">
        <v>300</v>
      </c>
      <c r="K411">
        <v>1</v>
      </c>
      <c r="L411" t="s">
        <v>34</v>
      </c>
      <c r="M411" t="s">
        <v>53</v>
      </c>
      <c r="N411">
        <v>3511</v>
      </c>
      <c r="O411" t="s">
        <v>35</v>
      </c>
      <c r="P411" t="s">
        <v>23</v>
      </c>
    </row>
    <row r="412" spans="1:16" x14ac:dyDescent="0.3">
      <c r="A412" t="s">
        <v>442</v>
      </c>
      <c r="B412" t="s">
        <v>31</v>
      </c>
      <c r="C412" t="s">
        <v>27</v>
      </c>
      <c r="D412" t="s">
        <v>1033</v>
      </c>
      <c r="E412" t="s">
        <v>19</v>
      </c>
      <c r="F412" t="s">
        <v>27</v>
      </c>
      <c r="G412">
        <v>22178</v>
      </c>
      <c r="H412">
        <v>12770</v>
      </c>
      <c r="I412">
        <v>586</v>
      </c>
      <c r="J412">
        <v>360</v>
      </c>
      <c r="K412">
        <v>1</v>
      </c>
      <c r="L412" t="s">
        <v>29</v>
      </c>
      <c r="M412" t="s">
        <v>21</v>
      </c>
      <c r="N412">
        <v>34948</v>
      </c>
      <c r="O412" t="s">
        <v>25</v>
      </c>
      <c r="P412" t="s">
        <v>23</v>
      </c>
    </row>
    <row r="413" spans="1:16" x14ac:dyDescent="0.3">
      <c r="A413" t="s">
        <v>443</v>
      </c>
      <c r="B413" t="s">
        <v>31</v>
      </c>
      <c r="C413" t="s">
        <v>18</v>
      </c>
      <c r="D413" t="s">
        <v>1034</v>
      </c>
      <c r="E413" t="s">
        <v>28</v>
      </c>
      <c r="F413" t="s">
        <v>27</v>
      </c>
      <c r="G413">
        <v>13485</v>
      </c>
      <c r="H413">
        <v>7253</v>
      </c>
      <c r="I413">
        <v>209</v>
      </c>
      <c r="J413">
        <v>240</v>
      </c>
      <c r="K413">
        <v>1</v>
      </c>
      <c r="L413" t="s">
        <v>34</v>
      </c>
      <c r="M413" t="s">
        <v>21</v>
      </c>
      <c r="N413">
        <v>20738</v>
      </c>
      <c r="O413" t="s">
        <v>25</v>
      </c>
      <c r="P413" t="s">
        <v>23</v>
      </c>
    </row>
    <row r="414" spans="1:16" x14ac:dyDescent="0.3">
      <c r="A414" t="s">
        <v>444</v>
      </c>
      <c r="B414" t="s">
        <v>17</v>
      </c>
      <c r="C414" t="s">
        <v>27</v>
      </c>
      <c r="D414" t="s">
        <v>1032</v>
      </c>
      <c r="E414" t="s">
        <v>28</v>
      </c>
      <c r="F414" t="s">
        <v>18</v>
      </c>
      <c r="G414">
        <v>24036</v>
      </c>
      <c r="H414">
        <v>8559</v>
      </c>
      <c r="I414">
        <v>356</v>
      </c>
      <c r="J414">
        <v>120</v>
      </c>
      <c r="K414">
        <v>1</v>
      </c>
      <c r="L414" t="s">
        <v>29</v>
      </c>
      <c r="M414" t="s">
        <v>21</v>
      </c>
      <c r="N414">
        <v>32595</v>
      </c>
      <c r="O414" t="s">
        <v>25</v>
      </c>
      <c r="P414" t="s">
        <v>23</v>
      </c>
    </row>
    <row r="415" spans="1:16" x14ac:dyDescent="0.3">
      <c r="A415" t="s">
        <v>445</v>
      </c>
      <c r="B415" t="s">
        <v>17</v>
      </c>
      <c r="C415" t="s">
        <v>18</v>
      </c>
      <c r="D415" t="s">
        <v>1032</v>
      </c>
      <c r="E415" t="s">
        <v>19</v>
      </c>
      <c r="F415" t="s">
        <v>27</v>
      </c>
      <c r="G415">
        <v>19868</v>
      </c>
      <c r="H415">
        <v>7661</v>
      </c>
      <c r="I415">
        <v>305</v>
      </c>
      <c r="J415">
        <v>180</v>
      </c>
      <c r="K415">
        <v>1</v>
      </c>
      <c r="L415" t="s">
        <v>34</v>
      </c>
      <c r="M415" t="s">
        <v>21</v>
      </c>
      <c r="N415">
        <v>27529</v>
      </c>
      <c r="O415" t="s">
        <v>25</v>
      </c>
      <c r="P415" t="s">
        <v>23</v>
      </c>
    </row>
    <row r="416" spans="1:16" x14ac:dyDescent="0.3">
      <c r="A416" t="s">
        <v>446</v>
      </c>
      <c r="B416" t="s">
        <v>31</v>
      </c>
      <c r="C416" t="s">
        <v>27</v>
      </c>
      <c r="D416" t="s">
        <v>1033</v>
      </c>
      <c r="E416" t="s">
        <v>28</v>
      </c>
      <c r="F416" t="s">
        <v>18</v>
      </c>
      <c r="G416">
        <v>15335</v>
      </c>
      <c r="H416">
        <v>0</v>
      </c>
      <c r="I416">
        <v>579</v>
      </c>
      <c r="J416">
        <v>360</v>
      </c>
      <c r="K416">
        <v>0</v>
      </c>
      <c r="L416" t="s">
        <v>34</v>
      </c>
      <c r="M416" t="s">
        <v>21</v>
      </c>
      <c r="N416">
        <v>15335</v>
      </c>
      <c r="O416" t="s">
        <v>25</v>
      </c>
      <c r="P416" t="s">
        <v>32</v>
      </c>
    </row>
    <row r="417" spans="1:16" x14ac:dyDescent="0.3">
      <c r="A417" t="s">
        <v>447</v>
      </c>
      <c r="B417" t="s">
        <v>31</v>
      </c>
      <c r="C417" t="s">
        <v>27</v>
      </c>
      <c r="D417" t="s">
        <v>1032</v>
      </c>
      <c r="E417" t="s">
        <v>28</v>
      </c>
      <c r="F417" t="s">
        <v>18</v>
      </c>
      <c r="G417">
        <v>3743</v>
      </c>
      <c r="H417">
        <v>0</v>
      </c>
      <c r="I417">
        <v>346</v>
      </c>
      <c r="J417">
        <v>120</v>
      </c>
      <c r="K417">
        <v>1</v>
      </c>
      <c r="L417" t="s">
        <v>34</v>
      </c>
      <c r="M417" t="s">
        <v>53</v>
      </c>
      <c r="N417">
        <v>3743</v>
      </c>
      <c r="O417" t="s">
        <v>35</v>
      </c>
      <c r="P417" t="s">
        <v>23</v>
      </c>
    </row>
    <row r="418" spans="1:16" x14ac:dyDescent="0.3">
      <c r="A418" t="s">
        <v>448</v>
      </c>
      <c r="B418" t="s">
        <v>31</v>
      </c>
      <c r="C418" t="s">
        <v>27</v>
      </c>
      <c r="D418" t="s">
        <v>1035</v>
      </c>
      <c r="E418" t="s">
        <v>19</v>
      </c>
      <c r="F418" t="s">
        <v>27</v>
      </c>
      <c r="G418">
        <v>2135</v>
      </c>
      <c r="H418">
        <v>0</v>
      </c>
      <c r="I418">
        <v>597</v>
      </c>
      <c r="J418">
        <v>120</v>
      </c>
      <c r="K418">
        <v>1</v>
      </c>
      <c r="L418" t="s">
        <v>20</v>
      </c>
      <c r="M418" t="s">
        <v>53</v>
      </c>
      <c r="N418">
        <v>2135</v>
      </c>
      <c r="O418" t="s">
        <v>35</v>
      </c>
      <c r="P418" t="s">
        <v>23</v>
      </c>
    </row>
    <row r="419" spans="1:16" x14ac:dyDescent="0.3">
      <c r="A419" t="s">
        <v>449</v>
      </c>
      <c r="B419" t="s">
        <v>31</v>
      </c>
      <c r="C419" t="s">
        <v>27</v>
      </c>
      <c r="D419" t="s">
        <v>1033</v>
      </c>
      <c r="E419" t="s">
        <v>28</v>
      </c>
      <c r="F419" t="s">
        <v>18</v>
      </c>
      <c r="G419">
        <v>9128</v>
      </c>
      <c r="H419">
        <v>0</v>
      </c>
      <c r="I419">
        <v>65</v>
      </c>
      <c r="J419">
        <v>300</v>
      </c>
      <c r="K419">
        <v>1</v>
      </c>
      <c r="L419" t="s">
        <v>29</v>
      </c>
      <c r="M419" t="s">
        <v>21</v>
      </c>
      <c r="N419">
        <v>9128</v>
      </c>
      <c r="O419" t="s">
        <v>22</v>
      </c>
      <c r="P419" t="s">
        <v>23</v>
      </c>
    </row>
    <row r="420" spans="1:16" x14ac:dyDescent="0.3">
      <c r="A420" t="s">
        <v>450</v>
      </c>
      <c r="B420" t="s">
        <v>31</v>
      </c>
      <c r="C420" t="s">
        <v>27</v>
      </c>
      <c r="D420" t="s">
        <v>1032</v>
      </c>
      <c r="E420" t="s">
        <v>28</v>
      </c>
      <c r="F420" t="s">
        <v>18</v>
      </c>
      <c r="G420">
        <v>12321</v>
      </c>
      <c r="H420">
        <v>0</v>
      </c>
      <c r="I420">
        <v>107</v>
      </c>
      <c r="J420">
        <v>240</v>
      </c>
      <c r="K420">
        <v>1</v>
      </c>
      <c r="L420" t="s">
        <v>20</v>
      </c>
      <c r="M420" t="s">
        <v>21</v>
      </c>
      <c r="N420">
        <v>12321</v>
      </c>
      <c r="O420" t="s">
        <v>25</v>
      </c>
      <c r="P420" t="s">
        <v>23</v>
      </c>
    </row>
    <row r="421" spans="1:16" x14ac:dyDescent="0.3">
      <c r="A421" t="s">
        <v>451</v>
      </c>
      <c r="B421" t="s">
        <v>31</v>
      </c>
      <c r="C421" t="s">
        <v>18</v>
      </c>
      <c r="D421" t="s">
        <v>1033</v>
      </c>
      <c r="E421" t="s">
        <v>28</v>
      </c>
      <c r="F421" t="s">
        <v>27</v>
      </c>
      <c r="G421">
        <v>1913</v>
      </c>
      <c r="H421">
        <v>0</v>
      </c>
      <c r="I421">
        <v>444</v>
      </c>
      <c r="J421">
        <v>300</v>
      </c>
      <c r="K421">
        <v>1</v>
      </c>
      <c r="L421" t="s">
        <v>20</v>
      </c>
      <c r="M421" t="s">
        <v>53</v>
      </c>
      <c r="N421">
        <v>1913</v>
      </c>
      <c r="O421" t="s">
        <v>35</v>
      </c>
      <c r="P421" t="s">
        <v>23</v>
      </c>
    </row>
    <row r="422" spans="1:16" x14ac:dyDescent="0.3">
      <c r="A422" t="s">
        <v>452</v>
      </c>
      <c r="B422" t="s">
        <v>17</v>
      </c>
      <c r="C422" t="s">
        <v>27</v>
      </c>
      <c r="D422" t="s">
        <v>1034</v>
      </c>
      <c r="E422" t="s">
        <v>19</v>
      </c>
      <c r="F422" t="s">
        <v>27</v>
      </c>
      <c r="G422">
        <v>14250</v>
      </c>
      <c r="H422">
        <v>11664</v>
      </c>
      <c r="I422">
        <v>380</v>
      </c>
      <c r="J422">
        <v>180</v>
      </c>
      <c r="K422">
        <v>1</v>
      </c>
      <c r="L422" t="s">
        <v>20</v>
      </c>
      <c r="M422" t="s">
        <v>21</v>
      </c>
      <c r="N422">
        <v>25914</v>
      </c>
      <c r="O422" t="s">
        <v>25</v>
      </c>
      <c r="P422" t="s">
        <v>23</v>
      </c>
    </row>
    <row r="423" spans="1:16" x14ac:dyDescent="0.3">
      <c r="A423" t="s">
        <v>453</v>
      </c>
      <c r="B423" t="s">
        <v>17</v>
      </c>
      <c r="C423" t="s">
        <v>27</v>
      </c>
      <c r="D423" t="s">
        <v>1035</v>
      </c>
      <c r="E423" t="s">
        <v>28</v>
      </c>
      <c r="F423" t="s">
        <v>18</v>
      </c>
      <c r="G423">
        <v>13310</v>
      </c>
      <c r="H423">
        <v>0</v>
      </c>
      <c r="I423">
        <v>165</v>
      </c>
      <c r="J423">
        <v>180</v>
      </c>
      <c r="K423">
        <v>1</v>
      </c>
      <c r="L423" t="s">
        <v>29</v>
      </c>
      <c r="M423" t="s">
        <v>21</v>
      </c>
      <c r="N423">
        <v>13310</v>
      </c>
      <c r="O423" t="s">
        <v>25</v>
      </c>
      <c r="P423" t="s">
        <v>23</v>
      </c>
    </row>
    <row r="424" spans="1:16" x14ac:dyDescent="0.3">
      <c r="A424" t="s">
        <v>454</v>
      </c>
      <c r="B424" t="s">
        <v>17</v>
      </c>
      <c r="C424" t="s">
        <v>18</v>
      </c>
      <c r="D424" t="s">
        <v>1032</v>
      </c>
      <c r="E424" t="s">
        <v>19</v>
      </c>
      <c r="F424" t="s">
        <v>27</v>
      </c>
      <c r="G424">
        <v>9465</v>
      </c>
      <c r="H424">
        <v>0</v>
      </c>
      <c r="I424">
        <v>645</v>
      </c>
      <c r="J424">
        <v>300</v>
      </c>
      <c r="K424">
        <v>1</v>
      </c>
      <c r="L424" t="s">
        <v>20</v>
      </c>
      <c r="M424" t="s">
        <v>21</v>
      </c>
      <c r="N424">
        <v>9465</v>
      </c>
      <c r="O424" t="s">
        <v>22</v>
      </c>
      <c r="P424" t="s">
        <v>23</v>
      </c>
    </row>
    <row r="425" spans="1:16" x14ac:dyDescent="0.3">
      <c r="A425" t="s">
        <v>455</v>
      </c>
      <c r="B425" t="s">
        <v>31</v>
      </c>
      <c r="C425" t="s">
        <v>18</v>
      </c>
      <c r="D425" t="s">
        <v>1033</v>
      </c>
      <c r="E425" t="s">
        <v>19</v>
      </c>
      <c r="F425" t="s">
        <v>27</v>
      </c>
      <c r="G425">
        <v>4495</v>
      </c>
      <c r="H425">
        <v>11738</v>
      </c>
      <c r="I425">
        <v>690</v>
      </c>
      <c r="J425">
        <v>120</v>
      </c>
      <c r="K425">
        <v>1</v>
      </c>
      <c r="L425" t="s">
        <v>34</v>
      </c>
      <c r="M425" t="s">
        <v>21</v>
      </c>
      <c r="N425">
        <v>16233</v>
      </c>
      <c r="O425" t="s">
        <v>25</v>
      </c>
      <c r="P425" t="s">
        <v>23</v>
      </c>
    </row>
    <row r="426" spans="1:16" x14ac:dyDescent="0.3">
      <c r="A426" t="s">
        <v>456</v>
      </c>
      <c r="B426" t="s">
        <v>17</v>
      </c>
      <c r="C426" t="s">
        <v>18</v>
      </c>
      <c r="D426" t="s">
        <v>1033</v>
      </c>
      <c r="E426" t="s">
        <v>28</v>
      </c>
      <c r="F426" t="s">
        <v>18</v>
      </c>
      <c r="G426">
        <v>11878</v>
      </c>
      <c r="H426">
        <v>9648</v>
      </c>
      <c r="I426">
        <v>499</v>
      </c>
      <c r="J426">
        <v>180</v>
      </c>
      <c r="K426">
        <v>1</v>
      </c>
      <c r="L426" t="s">
        <v>29</v>
      </c>
      <c r="M426" t="s">
        <v>21</v>
      </c>
      <c r="N426">
        <v>21526</v>
      </c>
      <c r="O426" t="s">
        <v>25</v>
      </c>
      <c r="P426" t="s">
        <v>23</v>
      </c>
    </row>
    <row r="427" spans="1:16" x14ac:dyDescent="0.3">
      <c r="A427" t="s">
        <v>457</v>
      </c>
      <c r="B427" t="s">
        <v>31</v>
      </c>
      <c r="C427" t="s">
        <v>18</v>
      </c>
      <c r="D427" t="s">
        <v>1032</v>
      </c>
      <c r="E427" t="s">
        <v>19</v>
      </c>
      <c r="F427" t="s">
        <v>27</v>
      </c>
      <c r="G427">
        <v>24654</v>
      </c>
      <c r="H427">
        <v>7668</v>
      </c>
      <c r="I427">
        <v>605</v>
      </c>
      <c r="J427">
        <v>300</v>
      </c>
      <c r="K427">
        <v>1</v>
      </c>
      <c r="L427" t="s">
        <v>20</v>
      </c>
      <c r="M427" t="s">
        <v>21</v>
      </c>
      <c r="N427">
        <v>32322</v>
      </c>
      <c r="O427" t="s">
        <v>25</v>
      </c>
      <c r="P427" t="s">
        <v>23</v>
      </c>
    </row>
    <row r="428" spans="1:16" x14ac:dyDescent="0.3">
      <c r="A428" t="s">
        <v>458</v>
      </c>
      <c r="B428" t="s">
        <v>31</v>
      </c>
      <c r="C428" t="s">
        <v>27</v>
      </c>
      <c r="D428" t="s">
        <v>1035</v>
      </c>
      <c r="E428" t="s">
        <v>28</v>
      </c>
      <c r="F428" t="s">
        <v>18</v>
      </c>
      <c r="G428">
        <v>3756</v>
      </c>
      <c r="H428">
        <v>0</v>
      </c>
      <c r="I428">
        <v>510</v>
      </c>
      <c r="J428">
        <v>240</v>
      </c>
      <c r="K428">
        <v>0</v>
      </c>
      <c r="L428" t="s">
        <v>34</v>
      </c>
      <c r="M428" t="s">
        <v>53</v>
      </c>
      <c r="N428">
        <v>3756</v>
      </c>
      <c r="O428" t="s">
        <v>35</v>
      </c>
      <c r="P428" t="s">
        <v>32</v>
      </c>
    </row>
    <row r="429" spans="1:16" x14ac:dyDescent="0.3">
      <c r="A429" t="s">
        <v>459</v>
      </c>
      <c r="B429" t="s">
        <v>31</v>
      </c>
      <c r="C429" t="s">
        <v>27</v>
      </c>
      <c r="D429" t="s">
        <v>1034</v>
      </c>
      <c r="E429" t="s">
        <v>28</v>
      </c>
      <c r="F429" t="s">
        <v>18</v>
      </c>
      <c r="G429">
        <v>2113</v>
      </c>
      <c r="H429">
        <v>10653</v>
      </c>
      <c r="I429">
        <v>685</v>
      </c>
      <c r="J429">
        <v>180</v>
      </c>
      <c r="K429">
        <v>1</v>
      </c>
      <c r="L429" t="s">
        <v>20</v>
      </c>
      <c r="M429" t="s">
        <v>21</v>
      </c>
      <c r="N429">
        <v>12766</v>
      </c>
      <c r="O429" t="s">
        <v>25</v>
      </c>
      <c r="P429" t="s">
        <v>23</v>
      </c>
    </row>
    <row r="430" spans="1:16" x14ac:dyDescent="0.3">
      <c r="A430" t="s">
        <v>460</v>
      </c>
      <c r="B430" t="s">
        <v>31</v>
      </c>
      <c r="C430" t="s">
        <v>18</v>
      </c>
      <c r="D430" t="s">
        <v>1035</v>
      </c>
      <c r="E430" t="s">
        <v>19</v>
      </c>
      <c r="F430" t="s">
        <v>27</v>
      </c>
      <c r="G430">
        <v>12070</v>
      </c>
      <c r="H430">
        <v>7214</v>
      </c>
      <c r="I430">
        <v>163</v>
      </c>
      <c r="J430">
        <v>120</v>
      </c>
      <c r="K430">
        <v>1</v>
      </c>
      <c r="L430" t="s">
        <v>20</v>
      </c>
      <c r="M430" t="s">
        <v>21</v>
      </c>
      <c r="N430">
        <v>19284</v>
      </c>
      <c r="O430" t="s">
        <v>25</v>
      </c>
      <c r="P430" t="s">
        <v>23</v>
      </c>
    </row>
    <row r="431" spans="1:16" x14ac:dyDescent="0.3">
      <c r="A431" t="s">
        <v>461</v>
      </c>
      <c r="B431" t="s">
        <v>17</v>
      </c>
      <c r="C431" t="s">
        <v>18</v>
      </c>
      <c r="D431" t="s">
        <v>1033</v>
      </c>
      <c r="E431" t="s">
        <v>19</v>
      </c>
      <c r="F431" t="s">
        <v>18</v>
      </c>
      <c r="G431">
        <v>5007</v>
      </c>
      <c r="H431">
        <v>0</v>
      </c>
      <c r="I431">
        <v>151</v>
      </c>
      <c r="J431">
        <v>120</v>
      </c>
      <c r="K431">
        <v>1</v>
      </c>
      <c r="L431" t="s">
        <v>29</v>
      </c>
      <c r="M431" t="s">
        <v>21</v>
      </c>
      <c r="N431">
        <v>5007</v>
      </c>
      <c r="O431" t="s">
        <v>22</v>
      </c>
      <c r="P431" t="s">
        <v>23</v>
      </c>
    </row>
    <row r="432" spans="1:16" x14ac:dyDescent="0.3">
      <c r="A432" t="s">
        <v>462</v>
      </c>
      <c r="B432" t="s">
        <v>31</v>
      </c>
      <c r="C432" t="s">
        <v>27</v>
      </c>
      <c r="D432" t="s">
        <v>1034</v>
      </c>
      <c r="E432" t="s">
        <v>28</v>
      </c>
      <c r="F432" t="s">
        <v>18</v>
      </c>
      <c r="G432">
        <v>21355</v>
      </c>
      <c r="H432">
        <v>0</v>
      </c>
      <c r="I432">
        <v>63</v>
      </c>
      <c r="J432">
        <v>180</v>
      </c>
      <c r="K432">
        <v>1</v>
      </c>
      <c r="L432" t="s">
        <v>20</v>
      </c>
      <c r="M432" t="s">
        <v>21</v>
      </c>
      <c r="N432">
        <v>21355</v>
      </c>
      <c r="O432" t="s">
        <v>25</v>
      </c>
      <c r="P432" t="s">
        <v>23</v>
      </c>
    </row>
    <row r="433" spans="1:16" x14ac:dyDescent="0.3">
      <c r="A433" t="s">
        <v>463</v>
      </c>
      <c r="B433" t="s">
        <v>31</v>
      </c>
      <c r="C433" t="s">
        <v>18</v>
      </c>
      <c r="D433" t="s">
        <v>1032</v>
      </c>
      <c r="E433" t="s">
        <v>28</v>
      </c>
      <c r="F433" t="s">
        <v>27</v>
      </c>
      <c r="G433">
        <v>24713</v>
      </c>
      <c r="H433">
        <v>1455</v>
      </c>
      <c r="I433">
        <v>591</v>
      </c>
      <c r="J433">
        <v>120</v>
      </c>
      <c r="K433">
        <v>1</v>
      </c>
      <c r="L433" t="s">
        <v>29</v>
      </c>
      <c r="M433" t="s">
        <v>21</v>
      </c>
      <c r="N433">
        <v>26168</v>
      </c>
      <c r="O433" t="s">
        <v>25</v>
      </c>
      <c r="P433" t="s">
        <v>23</v>
      </c>
    </row>
    <row r="434" spans="1:16" x14ac:dyDescent="0.3">
      <c r="A434" t="s">
        <v>464</v>
      </c>
      <c r="B434" t="s">
        <v>17</v>
      </c>
      <c r="C434" t="s">
        <v>18</v>
      </c>
      <c r="D434" t="s">
        <v>1034</v>
      </c>
      <c r="E434" t="s">
        <v>19</v>
      </c>
      <c r="F434" t="s">
        <v>18</v>
      </c>
      <c r="G434">
        <v>18921</v>
      </c>
      <c r="H434">
        <v>0</v>
      </c>
      <c r="I434">
        <v>247</v>
      </c>
      <c r="J434">
        <v>360</v>
      </c>
      <c r="K434">
        <v>1</v>
      </c>
      <c r="L434" t="s">
        <v>34</v>
      </c>
      <c r="M434" t="s">
        <v>21</v>
      </c>
      <c r="N434">
        <v>18921</v>
      </c>
      <c r="O434" t="s">
        <v>25</v>
      </c>
      <c r="P434" t="s">
        <v>23</v>
      </c>
    </row>
    <row r="435" spans="1:16" x14ac:dyDescent="0.3">
      <c r="A435" t="s">
        <v>465</v>
      </c>
      <c r="B435" t="s">
        <v>17</v>
      </c>
      <c r="C435" t="s">
        <v>27</v>
      </c>
      <c r="D435" t="s">
        <v>1034</v>
      </c>
      <c r="E435" t="s">
        <v>28</v>
      </c>
      <c r="F435" t="s">
        <v>27</v>
      </c>
      <c r="G435">
        <v>24521</v>
      </c>
      <c r="H435">
        <v>11399</v>
      </c>
      <c r="I435">
        <v>156</v>
      </c>
      <c r="J435">
        <v>180</v>
      </c>
      <c r="K435">
        <v>0</v>
      </c>
      <c r="L435" t="s">
        <v>34</v>
      </c>
      <c r="M435" t="s">
        <v>21</v>
      </c>
      <c r="N435">
        <v>35920</v>
      </c>
      <c r="O435" t="s">
        <v>25</v>
      </c>
      <c r="P435" t="s">
        <v>32</v>
      </c>
    </row>
    <row r="436" spans="1:16" x14ac:dyDescent="0.3">
      <c r="A436" t="s">
        <v>466</v>
      </c>
      <c r="B436" t="s">
        <v>31</v>
      </c>
      <c r="C436" t="s">
        <v>27</v>
      </c>
      <c r="D436" t="s">
        <v>1033</v>
      </c>
      <c r="E436" t="s">
        <v>28</v>
      </c>
      <c r="F436" t="s">
        <v>27</v>
      </c>
      <c r="G436">
        <v>11826</v>
      </c>
      <c r="H436">
        <v>9512</v>
      </c>
      <c r="I436">
        <v>430</v>
      </c>
      <c r="J436">
        <v>300</v>
      </c>
      <c r="K436">
        <v>1</v>
      </c>
      <c r="L436" t="s">
        <v>29</v>
      </c>
      <c r="M436" t="s">
        <v>21</v>
      </c>
      <c r="N436">
        <v>21338</v>
      </c>
      <c r="O436" t="s">
        <v>25</v>
      </c>
      <c r="P436" t="s">
        <v>23</v>
      </c>
    </row>
    <row r="437" spans="1:16" x14ac:dyDescent="0.3">
      <c r="A437" t="s">
        <v>467</v>
      </c>
      <c r="B437" t="s">
        <v>31</v>
      </c>
      <c r="C437" t="s">
        <v>18</v>
      </c>
      <c r="D437" t="s">
        <v>1033</v>
      </c>
      <c r="E437" t="s">
        <v>28</v>
      </c>
      <c r="F437" t="s">
        <v>27</v>
      </c>
      <c r="G437">
        <v>13296</v>
      </c>
      <c r="H437">
        <v>7912</v>
      </c>
      <c r="I437">
        <v>456</v>
      </c>
      <c r="J437">
        <v>120</v>
      </c>
      <c r="K437">
        <v>1</v>
      </c>
      <c r="L437" t="s">
        <v>29</v>
      </c>
      <c r="M437" t="s">
        <v>21</v>
      </c>
      <c r="N437">
        <v>21208</v>
      </c>
      <c r="O437" t="s">
        <v>25</v>
      </c>
      <c r="P437" t="s">
        <v>23</v>
      </c>
    </row>
    <row r="438" spans="1:16" x14ac:dyDescent="0.3">
      <c r="A438" t="s">
        <v>468</v>
      </c>
      <c r="B438" t="s">
        <v>17</v>
      </c>
      <c r="C438" t="s">
        <v>18</v>
      </c>
      <c r="D438" t="s">
        <v>1032</v>
      </c>
      <c r="E438" t="s">
        <v>19</v>
      </c>
      <c r="F438" t="s">
        <v>27</v>
      </c>
      <c r="G438">
        <v>8770</v>
      </c>
      <c r="H438">
        <v>4019</v>
      </c>
      <c r="I438">
        <v>72</v>
      </c>
      <c r="J438">
        <v>240</v>
      </c>
      <c r="K438">
        <v>0</v>
      </c>
      <c r="L438" t="s">
        <v>34</v>
      </c>
      <c r="M438" t="s">
        <v>21</v>
      </c>
      <c r="N438">
        <v>12789</v>
      </c>
      <c r="O438" t="s">
        <v>25</v>
      </c>
      <c r="P438" t="s">
        <v>32</v>
      </c>
    </row>
    <row r="439" spans="1:16" x14ac:dyDescent="0.3">
      <c r="A439" t="s">
        <v>469</v>
      </c>
      <c r="B439" t="s">
        <v>17</v>
      </c>
      <c r="C439" t="s">
        <v>18</v>
      </c>
      <c r="D439" t="s">
        <v>1034</v>
      </c>
      <c r="E439" t="s">
        <v>28</v>
      </c>
      <c r="F439" t="s">
        <v>27</v>
      </c>
      <c r="G439">
        <v>6615</v>
      </c>
      <c r="H439">
        <v>2767</v>
      </c>
      <c r="I439">
        <v>425</v>
      </c>
      <c r="J439">
        <v>360</v>
      </c>
      <c r="K439">
        <v>1</v>
      </c>
      <c r="L439" t="s">
        <v>29</v>
      </c>
      <c r="M439" t="s">
        <v>21</v>
      </c>
      <c r="N439">
        <v>9382</v>
      </c>
      <c r="O439" t="s">
        <v>22</v>
      </c>
      <c r="P439" t="s">
        <v>23</v>
      </c>
    </row>
    <row r="440" spans="1:16" x14ac:dyDescent="0.3">
      <c r="A440" t="s">
        <v>470</v>
      </c>
      <c r="B440" t="s">
        <v>31</v>
      </c>
      <c r="C440" t="s">
        <v>18</v>
      </c>
      <c r="D440" t="s">
        <v>1035</v>
      </c>
      <c r="E440" t="s">
        <v>19</v>
      </c>
      <c r="F440" t="s">
        <v>18</v>
      </c>
      <c r="G440">
        <v>12139</v>
      </c>
      <c r="H440">
        <v>13490</v>
      </c>
      <c r="I440">
        <v>227</v>
      </c>
      <c r="J440">
        <v>300</v>
      </c>
      <c r="K440">
        <v>0</v>
      </c>
      <c r="L440" t="s">
        <v>34</v>
      </c>
      <c r="M440" t="s">
        <v>21</v>
      </c>
      <c r="N440">
        <v>25629</v>
      </c>
      <c r="O440" t="s">
        <v>25</v>
      </c>
      <c r="P440" t="s">
        <v>32</v>
      </c>
    </row>
    <row r="441" spans="1:16" x14ac:dyDescent="0.3">
      <c r="A441" t="s">
        <v>471</v>
      </c>
      <c r="B441" t="s">
        <v>17</v>
      </c>
      <c r="C441" t="s">
        <v>27</v>
      </c>
      <c r="D441" t="s">
        <v>1034</v>
      </c>
      <c r="E441" t="s">
        <v>28</v>
      </c>
      <c r="F441" t="s">
        <v>18</v>
      </c>
      <c r="G441">
        <v>3332</v>
      </c>
      <c r="H441">
        <v>13130</v>
      </c>
      <c r="I441">
        <v>406</v>
      </c>
      <c r="J441">
        <v>300</v>
      </c>
      <c r="K441">
        <v>1</v>
      </c>
      <c r="L441" t="s">
        <v>20</v>
      </c>
      <c r="M441" t="s">
        <v>21</v>
      </c>
      <c r="N441">
        <v>16462</v>
      </c>
      <c r="O441" t="s">
        <v>25</v>
      </c>
      <c r="P441" t="s">
        <v>23</v>
      </c>
    </row>
    <row r="442" spans="1:16" x14ac:dyDescent="0.3">
      <c r="A442" t="s">
        <v>472</v>
      </c>
      <c r="B442" t="s">
        <v>17</v>
      </c>
      <c r="C442" t="s">
        <v>18</v>
      </c>
      <c r="D442" t="s">
        <v>1035</v>
      </c>
      <c r="E442" t="s">
        <v>19</v>
      </c>
      <c r="F442" t="s">
        <v>27</v>
      </c>
      <c r="G442">
        <v>18682</v>
      </c>
      <c r="H442">
        <v>1174</v>
      </c>
      <c r="I442">
        <v>602</v>
      </c>
      <c r="J442">
        <v>360</v>
      </c>
      <c r="K442">
        <v>1</v>
      </c>
      <c r="L442" t="s">
        <v>34</v>
      </c>
      <c r="M442" t="s">
        <v>21</v>
      </c>
      <c r="N442">
        <v>19856</v>
      </c>
      <c r="O442" t="s">
        <v>25</v>
      </c>
      <c r="P442" t="s">
        <v>23</v>
      </c>
    </row>
    <row r="443" spans="1:16" x14ac:dyDescent="0.3">
      <c r="A443" t="s">
        <v>473</v>
      </c>
      <c r="B443" t="s">
        <v>17</v>
      </c>
      <c r="C443" t="s">
        <v>18</v>
      </c>
      <c r="D443" t="s">
        <v>1034</v>
      </c>
      <c r="E443" t="s">
        <v>28</v>
      </c>
      <c r="F443" t="s">
        <v>27</v>
      </c>
      <c r="G443">
        <v>21001</v>
      </c>
      <c r="H443">
        <v>0</v>
      </c>
      <c r="I443">
        <v>277</v>
      </c>
      <c r="J443">
        <v>300</v>
      </c>
      <c r="K443">
        <v>1</v>
      </c>
      <c r="L443" t="s">
        <v>29</v>
      </c>
      <c r="M443" t="s">
        <v>21</v>
      </c>
      <c r="N443">
        <v>21001</v>
      </c>
      <c r="O443" t="s">
        <v>25</v>
      </c>
      <c r="P443" t="s">
        <v>23</v>
      </c>
    </row>
    <row r="444" spans="1:16" x14ac:dyDescent="0.3">
      <c r="A444" t="s">
        <v>474</v>
      </c>
      <c r="B444" t="s">
        <v>17</v>
      </c>
      <c r="C444" t="s">
        <v>18</v>
      </c>
      <c r="D444" t="s">
        <v>1032</v>
      </c>
      <c r="E444" t="s">
        <v>19</v>
      </c>
      <c r="F444" t="s">
        <v>27</v>
      </c>
      <c r="G444">
        <v>20224</v>
      </c>
      <c r="H444">
        <v>0</v>
      </c>
      <c r="I444">
        <v>611</v>
      </c>
      <c r="J444">
        <v>300</v>
      </c>
      <c r="K444">
        <v>1</v>
      </c>
      <c r="L444" t="s">
        <v>29</v>
      </c>
      <c r="M444" t="s">
        <v>21</v>
      </c>
      <c r="N444">
        <v>20224</v>
      </c>
      <c r="O444" t="s">
        <v>25</v>
      </c>
      <c r="P444" t="s">
        <v>23</v>
      </c>
    </row>
    <row r="445" spans="1:16" x14ac:dyDescent="0.3">
      <c r="A445" t="s">
        <v>475</v>
      </c>
      <c r="B445" t="s">
        <v>31</v>
      </c>
      <c r="C445" t="s">
        <v>18</v>
      </c>
      <c r="D445" t="s">
        <v>1033</v>
      </c>
      <c r="E445" t="s">
        <v>28</v>
      </c>
      <c r="F445" t="s">
        <v>18</v>
      </c>
      <c r="G445">
        <v>17486</v>
      </c>
      <c r="H445">
        <v>0</v>
      </c>
      <c r="I445">
        <v>624</v>
      </c>
      <c r="J445">
        <v>360</v>
      </c>
      <c r="K445">
        <v>0</v>
      </c>
      <c r="L445" t="s">
        <v>34</v>
      </c>
      <c r="M445" t="s">
        <v>21</v>
      </c>
      <c r="N445">
        <v>17486</v>
      </c>
      <c r="O445" t="s">
        <v>25</v>
      </c>
      <c r="P445" t="s">
        <v>32</v>
      </c>
    </row>
    <row r="446" spans="1:16" x14ac:dyDescent="0.3">
      <c r="A446" t="s">
        <v>476</v>
      </c>
      <c r="B446" t="s">
        <v>17</v>
      </c>
      <c r="C446" t="s">
        <v>18</v>
      </c>
      <c r="D446" t="s">
        <v>1034</v>
      </c>
      <c r="E446" t="s">
        <v>28</v>
      </c>
      <c r="F446" t="s">
        <v>27</v>
      </c>
      <c r="G446">
        <v>12097</v>
      </c>
      <c r="H446">
        <v>0</v>
      </c>
      <c r="I446">
        <v>165</v>
      </c>
      <c r="J446">
        <v>300</v>
      </c>
      <c r="K446">
        <v>1</v>
      </c>
      <c r="L446" t="s">
        <v>29</v>
      </c>
      <c r="M446" t="s">
        <v>21</v>
      </c>
      <c r="N446">
        <v>12097</v>
      </c>
      <c r="O446" t="s">
        <v>25</v>
      </c>
      <c r="P446" t="s">
        <v>23</v>
      </c>
    </row>
    <row r="447" spans="1:16" x14ac:dyDescent="0.3">
      <c r="A447" t="s">
        <v>477</v>
      </c>
      <c r="B447" t="s">
        <v>17</v>
      </c>
      <c r="C447" t="s">
        <v>27</v>
      </c>
      <c r="D447" t="s">
        <v>1032</v>
      </c>
      <c r="E447" t="s">
        <v>19</v>
      </c>
      <c r="F447" t="s">
        <v>27</v>
      </c>
      <c r="G447">
        <v>7046</v>
      </c>
      <c r="H447">
        <v>6229</v>
      </c>
      <c r="I447">
        <v>688</v>
      </c>
      <c r="J447">
        <v>180</v>
      </c>
      <c r="K447">
        <v>1</v>
      </c>
      <c r="L447" t="s">
        <v>20</v>
      </c>
      <c r="M447" t="s">
        <v>21</v>
      </c>
      <c r="N447">
        <v>13275</v>
      </c>
      <c r="O447" t="s">
        <v>25</v>
      </c>
      <c r="P447" t="s">
        <v>23</v>
      </c>
    </row>
    <row r="448" spans="1:16" x14ac:dyDescent="0.3">
      <c r="A448" t="s">
        <v>478</v>
      </c>
      <c r="B448" t="s">
        <v>17</v>
      </c>
      <c r="C448" t="s">
        <v>27</v>
      </c>
      <c r="D448" t="s">
        <v>1033</v>
      </c>
      <c r="E448" t="s">
        <v>19</v>
      </c>
      <c r="F448" t="s">
        <v>18</v>
      </c>
      <c r="G448">
        <v>3287</v>
      </c>
      <c r="H448">
        <v>0</v>
      </c>
      <c r="I448">
        <v>344</v>
      </c>
      <c r="J448">
        <v>120</v>
      </c>
      <c r="K448">
        <v>1</v>
      </c>
      <c r="L448" t="s">
        <v>20</v>
      </c>
      <c r="M448" t="s">
        <v>53</v>
      </c>
      <c r="N448">
        <v>3287</v>
      </c>
      <c r="O448" t="s">
        <v>35</v>
      </c>
      <c r="P448" t="s">
        <v>23</v>
      </c>
    </row>
    <row r="449" spans="1:16" x14ac:dyDescent="0.3">
      <c r="A449" t="s">
        <v>479</v>
      </c>
      <c r="B449" t="s">
        <v>31</v>
      </c>
      <c r="C449" t="s">
        <v>27</v>
      </c>
      <c r="D449" t="s">
        <v>1035</v>
      </c>
      <c r="E449" t="s">
        <v>19</v>
      </c>
      <c r="F449" t="s">
        <v>27</v>
      </c>
      <c r="G449">
        <v>8348</v>
      </c>
      <c r="H449">
        <v>0</v>
      </c>
      <c r="I449">
        <v>258</v>
      </c>
      <c r="J449">
        <v>360</v>
      </c>
      <c r="K449">
        <v>1</v>
      </c>
      <c r="L449" t="s">
        <v>29</v>
      </c>
      <c r="M449" t="s">
        <v>21</v>
      </c>
      <c r="N449">
        <v>8348</v>
      </c>
      <c r="O449" t="s">
        <v>22</v>
      </c>
      <c r="P449" t="s">
        <v>23</v>
      </c>
    </row>
    <row r="450" spans="1:16" x14ac:dyDescent="0.3">
      <c r="A450" t="s">
        <v>480</v>
      </c>
      <c r="B450" t="s">
        <v>31</v>
      </c>
      <c r="C450" t="s">
        <v>18</v>
      </c>
      <c r="D450" t="s">
        <v>1034</v>
      </c>
      <c r="E450" t="s">
        <v>28</v>
      </c>
      <c r="F450" t="s">
        <v>18</v>
      </c>
      <c r="G450">
        <v>9870</v>
      </c>
      <c r="H450">
        <v>0</v>
      </c>
      <c r="I450">
        <v>340</v>
      </c>
      <c r="J450">
        <v>180</v>
      </c>
      <c r="K450">
        <v>0</v>
      </c>
      <c r="L450" t="s">
        <v>34</v>
      </c>
      <c r="M450" t="s">
        <v>21</v>
      </c>
      <c r="N450">
        <v>9870</v>
      </c>
      <c r="O450" t="s">
        <v>22</v>
      </c>
      <c r="P450" t="s">
        <v>32</v>
      </c>
    </row>
    <row r="451" spans="1:16" x14ac:dyDescent="0.3">
      <c r="A451" t="s">
        <v>481</v>
      </c>
      <c r="B451" t="s">
        <v>31</v>
      </c>
      <c r="C451" t="s">
        <v>18</v>
      </c>
      <c r="D451" t="s">
        <v>1035</v>
      </c>
      <c r="E451" t="s">
        <v>19</v>
      </c>
      <c r="F451" t="s">
        <v>18</v>
      </c>
      <c r="G451">
        <v>14235</v>
      </c>
      <c r="H451">
        <v>11319</v>
      </c>
      <c r="I451">
        <v>418</v>
      </c>
      <c r="J451">
        <v>120</v>
      </c>
      <c r="K451">
        <v>1</v>
      </c>
      <c r="L451" t="s">
        <v>34</v>
      </c>
      <c r="M451" t="s">
        <v>21</v>
      </c>
      <c r="N451">
        <v>25554</v>
      </c>
      <c r="O451" t="s">
        <v>25</v>
      </c>
      <c r="P451" t="s">
        <v>23</v>
      </c>
    </row>
    <row r="452" spans="1:16" x14ac:dyDescent="0.3">
      <c r="A452" t="s">
        <v>482</v>
      </c>
      <c r="B452" t="s">
        <v>31</v>
      </c>
      <c r="C452" t="s">
        <v>18</v>
      </c>
      <c r="D452" t="s">
        <v>1035</v>
      </c>
      <c r="E452" t="s">
        <v>19</v>
      </c>
      <c r="F452" t="s">
        <v>27</v>
      </c>
      <c r="G452">
        <v>17381</v>
      </c>
      <c r="H452">
        <v>0</v>
      </c>
      <c r="I452">
        <v>240</v>
      </c>
      <c r="J452">
        <v>180</v>
      </c>
      <c r="K452">
        <v>1</v>
      </c>
      <c r="L452" t="s">
        <v>29</v>
      </c>
      <c r="M452" t="s">
        <v>21</v>
      </c>
      <c r="N452">
        <v>17381</v>
      </c>
      <c r="O452" t="s">
        <v>25</v>
      </c>
      <c r="P452" t="s">
        <v>23</v>
      </c>
    </row>
    <row r="453" spans="1:16" x14ac:dyDescent="0.3">
      <c r="A453" t="s">
        <v>483</v>
      </c>
      <c r="B453" t="s">
        <v>17</v>
      </c>
      <c r="C453" t="s">
        <v>18</v>
      </c>
      <c r="D453" t="s">
        <v>1033</v>
      </c>
      <c r="E453" t="s">
        <v>28</v>
      </c>
      <c r="F453" t="s">
        <v>27</v>
      </c>
      <c r="G453">
        <v>17554</v>
      </c>
      <c r="H453">
        <v>0</v>
      </c>
      <c r="I453">
        <v>68</v>
      </c>
      <c r="J453">
        <v>240</v>
      </c>
      <c r="K453">
        <v>1</v>
      </c>
      <c r="L453" t="s">
        <v>29</v>
      </c>
      <c r="M453" t="s">
        <v>21</v>
      </c>
      <c r="N453">
        <v>17554</v>
      </c>
      <c r="O453" t="s">
        <v>25</v>
      </c>
      <c r="P453" t="s">
        <v>23</v>
      </c>
    </row>
    <row r="454" spans="1:16" x14ac:dyDescent="0.3">
      <c r="A454" t="s">
        <v>484</v>
      </c>
      <c r="B454" t="s">
        <v>31</v>
      </c>
      <c r="C454" t="s">
        <v>18</v>
      </c>
      <c r="D454" t="s">
        <v>1032</v>
      </c>
      <c r="E454" t="s">
        <v>19</v>
      </c>
      <c r="F454" t="s">
        <v>27</v>
      </c>
      <c r="G454">
        <v>14186</v>
      </c>
      <c r="H454">
        <v>0</v>
      </c>
      <c r="I454">
        <v>618</v>
      </c>
      <c r="J454">
        <v>240</v>
      </c>
      <c r="K454">
        <v>1</v>
      </c>
      <c r="L454" t="s">
        <v>29</v>
      </c>
      <c r="M454" t="s">
        <v>21</v>
      </c>
      <c r="N454">
        <v>14186</v>
      </c>
      <c r="O454" t="s">
        <v>25</v>
      </c>
      <c r="P454" t="s">
        <v>23</v>
      </c>
    </row>
    <row r="455" spans="1:16" x14ac:dyDescent="0.3">
      <c r="A455" t="s">
        <v>485</v>
      </c>
      <c r="B455" t="s">
        <v>31</v>
      </c>
      <c r="C455" t="s">
        <v>18</v>
      </c>
      <c r="D455" t="s">
        <v>1034</v>
      </c>
      <c r="E455" t="s">
        <v>28</v>
      </c>
      <c r="F455" t="s">
        <v>18</v>
      </c>
      <c r="G455">
        <v>15175</v>
      </c>
      <c r="H455">
        <v>0</v>
      </c>
      <c r="I455">
        <v>486</v>
      </c>
      <c r="J455">
        <v>240</v>
      </c>
      <c r="K455">
        <v>0</v>
      </c>
      <c r="L455" t="s">
        <v>29</v>
      </c>
      <c r="M455" t="s">
        <v>21</v>
      </c>
      <c r="N455">
        <v>15175</v>
      </c>
      <c r="O455" t="s">
        <v>25</v>
      </c>
      <c r="P455" t="s">
        <v>32</v>
      </c>
    </row>
    <row r="456" spans="1:16" x14ac:dyDescent="0.3">
      <c r="A456" t="s">
        <v>486</v>
      </c>
      <c r="B456" t="s">
        <v>31</v>
      </c>
      <c r="C456" t="s">
        <v>18</v>
      </c>
      <c r="D456" t="s">
        <v>1033</v>
      </c>
      <c r="E456" t="s">
        <v>19</v>
      </c>
      <c r="F456" t="s">
        <v>18</v>
      </c>
      <c r="G456">
        <v>6025</v>
      </c>
      <c r="H456">
        <v>0</v>
      </c>
      <c r="I456">
        <v>490</v>
      </c>
      <c r="J456">
        <v>180</v>
      </c>
      <c r="K456">
        <v>1</v>
      </c>
      <c r="L456" t="s">
        <v>34</v>
      </c>
      <c r="M456" t="s">
        <v>21</v>
      </c>
      <c r="N456">
        <v>6025</v>
      </c>
      <c r="O456" t="s">
        <v>22</v>
      </c>
      <c r="P456" t="s">
        <v>23</v>
      </c>
    </row>
    <row r="457" spans="1:16" x14ac:dyDescent="0.3">
      <c r="A457" t="s">
        <v>487</v>
      </c>
      <c r="B457" t="s">
        <v>17</v>
      </c>
      <c r="C457" t="s">
        <v>27</v>
      </c>
      <c r="D457" t="s">
        <v>1034</v>
      </c>
      <c r="E457" t="s">
        <v>19</v>
      </c>
      <c r="F457" t="s">
        <v>18</v>
      </c>
      <c r="G457">
        <v>11907</v>
      </c>
      <c r="H457">
        <v>0</v>
      </c>
      <c r="I457">
        <v>80</v>
      </c>
      <c r="J457">
        <v>240</v>
      </c>
      <c r="K457">
        <v>0</v>
      </c>
      <c r="L457" t="s">
        <v>29</v>
      </c>
      <c r="M457" t="s">
        <v>21</v>
      </c>
      <c r="N457">
        <v>11907</v>
      </c>
      <c r="O457" t="s">
        <v>25</v>
      </c>
      <c r="P457" t="s">
        <v>32</v>
      </c>
    </row>
    <row r="458" spans="1:16" x14ac:dyDescent="0.3">
      <c r="A458" t="s">
        <v>488</v>
      </c>
      <c r="B458" t="s">
        <v>31</v>
      </c>
      <c r="C458" t="s">
        <v>27</v>
      </c>
      <c r="D458" t="s">
        <v>1035</v>
      </c>
      <c r="E458" t="s">
        <v>28</v>
      </c>
      <c r="F458" t="s">
        <v>18</v>
      </c>
      <c r="G458">
        <v>7658</v>
      </c>
      <c r="H458">
        <v>0</v>
      </c>
      <c r="I458">
        <v>239</v>
      </c>
      <c r="J458">
        <v>120</v>
      </c>
      <c r="K458">
        <v>1</v>
      </c>
      <c r="L458" t="s">
        <v>34</v>
      </c>
      <c r="M458" t="s">
        <v>21</v>
      </c>
      <c r="N458">
        <v>7658</v>
      </c>
      <c r="O458" t="s">
        <v>22</v>
      </c>
      <c r="P458" t="s">
        <v>23</v>
      </c>
    </row>
    <row r="459" spans="1:16" x14ac:dyDescent="0.3">
      <c r="A459" t="s">
        <v>489</v>
      </c>
      <c r="B459" t="s">
        <v>31</v>
      </c>
      <c r="C459" t="s">
        <v>18</v>
      </c>
      <c r="D459" t="s">
        <v>1033</v>
      </c>
      <c r="E459" t="s">
        <v>19</v>
      </c>
      <c r="F459" t="s">
        <v>18</v>
      </c>
      <c r="G459">
        <v>13272</v>
      </c>
      <c r="H459">
        <v>1802</v>
      </c>
      <c r="I459">
        <v>187</v>
      </c>
      <c r="J459">
        <v>360</v>
      </c>
      <c r="K459">
        <v>0</v>
      </c>
      <c r="L459" t="s">
        <v>29</v>
      </c>
      <c r="M459" t="s">
        <v>21</v>
      </c>
      <c r="N459">
        <v>15074</v>
      </c>
      <c r="O459" t="s">
        <v>25</v>
      </c>
      <c r="P459" t="s">
        <v>32</v>
      </c>
    </row>
    <row r="460" spans="1:16" x14ac:dyDescent="0.3">
      <c r="A460" t="s">
        <v>490</v>
      </c>
      <c r="B460" t="s">
        <v>31</v>
      </c>
      <c r="C460" t="s">
        <v>18</v>
      </c>
      <c r="D460" t="s">
        <v>1035</v>
      </c>
      <c r="E460" t="s">
        <v>28</v>
      </c>
      <c r="F460" t="s">
        <v>27</v>
      </c>
      <c r="G460">
        <v>6006</v>
      </c>
      <c r="H460">
        <v>0</v>
      </c>
      <c r="I460">
        <v>281</v>
      </c>
      <c r="J460">
        <v>120</v>
      </c>
      <c r="K460">
        <v>1</v>
      </c>
      <c r="L460" t="s">
        <v>20</v>
      </c>
      <c r="M460" t="s">
        <v>21</v>
      </c>
      <c r="N460">
        <v>6006</v>
      </c>
      <c r="O460" t="s">
        <v>22</v>
      </c>
      <c r="P460" t="s">
        <v>23</v>
      </c>
    </row>
    <row r="461" spans="1:16" x14ac:dyDescent="0.3">
      <c r="A461" t="s">
        <v>491</v>
      </c>
      <c r="B461" t="s">
        <v>31</v>
      </c>
      <c r="C461" t="s">
        <v>27</v>
      </c>
      <c r="D461" t="s">
        <v>1033</v>
      </c>
      <c r="E461" t="s">
        <v>19</v>
      </c>
      <c r="F461" t="s">
        <v>18</v>
      </c>
      <c r="G461">
        <v>3667</v>
      </c>
      <c r="H461">
        <v>3401</v>
      </c>
      <c r="I461">
        <v>681</v>
      </c>
      <c r="J461">
        <v>300</v>
      </c>
      <c r="K461">
        <v>1</v>
      </c>
      <c r="L461" t="s">
        <v>29</v>
      </c>
      <c r="M461" t="s">
        <v>21</v>
      </c>
      <c r="N461">
        <v>7068</v>
      </c>
      <c r="O461" t="s">
        <v>22</v>
      </c>
      <c r="P461" t="s">
        <v>23</v>
      </c>
    </row>
    <row r="462" spans="1:16" x14ac:dyDescent="0.3">
      <c r="A462" t="s">
        <v>492</v>
      </c>
      <c r="B462" t="s">
        <v>17</v>
      </c>
      <c r="C462" t="s">
        <v>27</v>
      </c>
      <c r="D462" t="s">
        <v>1035</v>
      </c>
      <c r="E462" t="s">
        <v>19</v>
      </c>
      <c r="F462" t="s">
        <v>27</v>
      </c>
      <c r="G462">
        <v>11753</v>
      </c>
      <c r="H462">
        <v>0</v>
      </c>
      <c r="I462">
        <v>583</v>
      </c>
      <c r="J462">
        <v>120</v>
      </c>
      <c r="K462">
        <v>1</v>
      </c>
      <c r="L462" t="s">
        <v>20</v>
      </c>
      <c r="M462" t="s">
        <v>21</v>
      </c>
      <c r="N462">
        <v>11753</v>
      </c>
      <c r="O462" t="s">
        <v>25</v>
      </c>
      <c r="P462" t="s">
        <v>23</v>
      </c>
    </row>
    <row r="463" spans="1:16" x14ac:dyDescent="0.3">
      <c r="A463" t="s">
        <v>493</v>
      </c>
      <c r="B463" t="s">
        <v>17</v>
      </c>
      <c r="C463" t="s">
        <v>27</v>
      </c>
      <c r="D463" t="s">
        <v>1034</v>
      </c>
      <c r="E463" t="s">
        <v>28</v>
      </c>
      <c r="F463" t="s">
        <v>18</v>
      </c>
      <c r="G463">
        <v>7721</v>
      </c>
      <c r="H463">
        <v>5270</v>
      </c>
      <c r="I463">
        <v>457</v>
      </c>
      <c r="J463">
        <v>240</v>
      </c>
      <c r="K463">
        <v>1</v>
      </c>
      <c r="L463" t="s">
        <v>29</v>
      </c>
      <c r="M463" t="s">
        <v>21</v>
      </c>
      <c r="N463">
        <v>12991</v>
      </c>
      <c r="O463" t="s">
        <v>25</v>
      </c>
      <c r="P463" t="s">
        <v>23</v>
      </c>
    </row>
    <row r="464" spans="1:16" x14ac:dyDescent="0.3">
      <c r="A464" t="s">
        <v>494</v>
      </c>
      <c r="B464" t="s">
        <v>31</v>
      </c>
      <c r="C464" t="s">
        <v>18</v>
      </c>
      <c r="D464" t="s">
        <v>1035</v>
      </c>
      <c r="E464" t="s">
        <v>28</v>
      </c>
      <c r="F464" t="s">
        <v>18</v>
      </c>
      <c r="G464">
        <v>24108</v>
      </c>
      <c r="H464">
        <v>0</v>
      </c>
      <c r="I464">
        <v>524</v>
      </c>
      <c r="J464">
        <v>300</v>
      </c>
      <c r="K464">
        <v>1</v>
      </c>
      <c r="L464" t="s">
        <v>34</v>
      </c>
      <c r="M464" t="s">
        <v>21</v>
      </c>
      <c r="N464">
        <v>24108</v>
      </c>
      <c r="O464" t="s">
        <v>25</v>
      </c>
      <c r="P464" t="s">
        <v>23</v>
      </c>
    </row>
    <row r="465" spans="1:16" x14ac:dyDescent="0.3">
      <c r="A465" t="s">
        <v>495</v>
      </c>
      <c r="B465" t="s">
        <v>17</v>
      </c>
      <c r="C465" t="s">
        <v>18</v>
      </c>
      <c r="D465" t="s">
        <v>1033</v>
      </c>
      <c r="E465" t="s">
        <v>28</v>
      </c>
      <c r="F465" t="s">
        <v>27</v>
      </c>
      <c r="G465">
        <v>12099</v>
      </c>
      <c r="H465">
        <v>0</v>
      </c>
      <c r="I465">
        <v>233</v>
      </c>
      <c r="J465">
        <v>300</v>
      </c>
      <c r="K465">
        <v>1</v>
      </c>
      <c r="L465" t="s">
        <v>34</v>
      </c>
      <c r="M465" t="s">
        <v>21</v>
      </c>
      <c r="N465">
        <v>12099</v>
      </c>
      <c r="O465" t="s">
        <v>25</v>
      </c>
      <c r="P465" t="s">
        <v>23</v>
      </c>
    </row>
    <row r="466" spans="1:16" x14ac:dyDescent="0.3">
      <c r="A466" t="s">
        <v>496</v>
      </c>
      <c r="B466" t="s">
        <v>17</v>
      </c>
      <c r="C466" t="s">
        <v>27</v>
      </c>
      <c r="D466" t="s">
        <v>1034</v>
      </c>
      <c r="E466" t="s">
        <v>28</v>
      </c>
      <c r="F466" t="s">
        <v>27</v>
      </c>
      <c r="G466">
        <v>24166</v>
      </c>
      <c r="H466">
        <v>0</v>
      </c>
      <c r="I466">
        <v>176</v>
      </c>
      <c r="J466">
        <v>120</v>
      </c>
      <c r="K466">
        <v>1</v>
      </c>
      <c r="L466" t="s">
        <v>29</v>
      </c>
      <c r="M466" t="s">
        <v>21</v>
      </c>
      <c r="N466">
        <v>24166</v>
      </c>
      <c r="O466" t="s">
        <v>25</v>
      </c>
      <c r="P466" t="s">
        <v>23</v>
      </c>
    </row>
    <row r="467" spans="1:16" x14ac:dyDescent="0.3">
      <c r="A467" t="s">
        <v>497</v>
      </c>
      <c r="B467" t="s">
        <v>31</v>
      </c>
      <c r="C467" t="s">
        <v>18</v>
      </c>
      <c r="D467" t="s">
        <v>1035</v>
      </c>
      <c r="E467" t="s">
        <v>19</v>
      </c>
      <c r="F467" t="s">
        <v>27</v>
      </c>
      <c r="G467">
        <v>19533</v>
      </c>
      <c r="H467">
        <v>0</v>
      </c>
      <c r="I467">
        <v>224</v>
      </c>
      <c r="J467">
        <v>240</v>
      </c>
      <c r="K467">
        <v>1</v>
      </c>
      <c r="L467" t="s">
        <v>34</v>
      </c>
      <c r="M467" t="s">
        <v>21</v>
      </c>
      <c r="N467">
        <v>19533</v>
      </c>
      <c r="O467" t="s">
        <v>25</v>
      </c>
      <c r="P467" t="s">
        <v>23</v>
      </c>
    </row>
    <row r="468" spans="1:16" x14ac:dyDescent="0.3">
      <c r="A468" t="s">
        <v>498</v>
      </c>
      <c r="B468" t="s">
        <v>17</v>
      </c>
      <c r="C468" t="s">
        <v>18</v>
      </c>
      <c r="D468" t="s">
        <v>1033</v>
      </c>
      <c r="E468" t="s">
        <v>19</v>
      </c>
      <c r="F468" t="s">
        <v>18</v>
      </c>
      <c r="G468">
        <v>15248</v>
      </c>
      <c r="H468">
        <v>5547</v>
      </c>
      <c r="I468">
        <v>506</v>
      </c>
      <c r="J468">
        <v>240</v>
      </c>
      <c r="K468">
        <v>1</v>
      </c>
      <c r="L468" t="s">
        <v>20</v>
      </c>
      <c r="M468" t="s">
        <v>21</v>
      </c>
      <c r="N468">
        <v>20795</v>
      </c>
      <c r="O468" t="s">
        <v>25</v>
      </c>
      <c r="P468" t="s">
        <v>23</v>
      </c>
    </row>
    <row r="469" spans="1:16" x14ac:dyDescent="0.3">
      <c r="A469" t="s">
        <v>499</v>
      </c>
      <c r="B469" t="s">
        <v>17</v>
      </c>
      <c r="C469" t="s">
        <v>18</v>
      </c>
      <c r="D469" t="s">
        <v>1034</v>
      </c>
      <c r="E469" t="s">
        <v>28</v>
      </c>
      <c r="F469" t="s">
        <v>18</v>
      </c>
      <c r="G469">
        <v>16528</v>
      </c>
      <c r="H469">
        <v>8653</v>
      </c>
      <c r="I469">
        <v>606</v>
      </c>
      <c r="J469">
        <v>120</v>
      </c>
      <c r="K469">
        <v>1</v>
      </c>
      <c r="L469" t="s">
        <v>29</v>
      </c>
      <c r="M469" t="s">
        <v>21</v>
      </c>
      <c r="N469">
        <v>25181</v>
      </c>
      <c r="O469" t="s">
        <v>25</v>
      </c>
      <c r="P469" t="s">
        <v>23</v>
      </c>
    </row>
    <row r="470" spans="1:16" x14ac:dyDescent="0.3">
      <c r="A470" t="s">
        <v>500</v>
      </c>
      <c r="B470" t="s">
        <v>17</v>
      </c>
      <c r="C470" t="s">
        <v>18</v>
      </c>
      <c r="D470" t="s">
        <v>1035</v>
      </c>
      <c r="E470" t="s">
        <v>28</v>
      </c>
      <c r="F470" t="s">
        <v>27</v>
      </c>
      <c r="G470">
        <v>15979</v>
      </c>
      <c r="H470">
        <v>0</v>
      </c>
      <c r="I470">
        <v>300</v>
      </c>
      <c r="J470">
        <v>360</v>
      </c>
      <c r="K470">
        <v>1</v>
      </c>
      <c r="L470" t="s">
        <v>34</v>
      </c>
      <c r="M470" t="s">
        <v>21</v>
      </c>
      <c r="N470">
        <v>15979</v>
      </c>
      <c r="O470" t="s">
        <v>25</v>
      </c>
      <c r="P470" t="s">
        <v>23</v>
      </c>
    </row>
    <row r="471" spans="1:16" x14ac:dyDescent="0.3">
      <c r="A471" t="s">
        <v>501</v>
      </c>
      <c r="B471" t="s">
        <v>17</v>
      </c>
      <c r="C471" t="s">
        <v>18</v>
      </c>
      <c r="D471" t="s">
        <v>1033</v>
      </c>
      <c r="E471" t="s">
        <v>19</v>
      </c>
      <c r="F471" t="s">
        <v>18</v>
      </c>
      <c r="G471">
        <v>22906</v>
      </c>
      <c r="H471">
        <v>0</v>
      </c>
      <c r="I471">
        <v>198</v>
      </c>
      <c r="J471">
        <v>120</v>
      </c>
      <c r="K471">
        <v>1</v>
      </c>
      <c r="L471" t="s">
        <v>34</v>
      </c>
      <c r="M471" t="s">
        <v>21</v>
      </c>
      <c r="N471">
        <v>22906</v>
      </c>
      <c r="O471" t="s">
        <v>25</v>
      </c>
      <c r="P471" t="s">
        <v>23</v>
      </c>
    </row>
    <row r="472" spans="1:16" x14ac:dyDescent="0.3">
      <c r="A472" t="s">
        <v>502</v>
      </c>
      <c r="B472" t="s">
        <v>31</v>
      </c>
      <c r="C472" t="s">
        <v>27</v>
      </c>
      <c r="D472" t="s">
        <v>1034</v>
      </c>
      <c r="E472" t="s">
        <v>19</v>
      </c>
      <c r="F472" t="s">
        <v>18</v>
      </c>
      <c r="G472">
        <v>15162</v>
      </c>
      <c r="H472">
        <v>0</v>
      </c>
      <c r="I472">
        <v>341</v>
      </c>
      <c r="J472">
        <v>360</v>
      </c>
      <c r="K472">
        <v>1</v>
      </c>
      <c r="L472" t="s">
        <v>34</v>
      </c>
      <c r="M472" t="s">
        <v>21</v>
      </c>
      <c r="N472">
        <v>15162</v>
      </c>
      <c r="O472" t="s">
        <v>25</v>
      </c>
      <c r="P472" t="s">
        <v>23</v>
      </c>
    </row>
    <row r="473" spans="1:16" x14ac:dyDescent="0.3">
      <c r="A473" t="s">
        <v>503</v>
      </c>
      <c r="B473" t="s">
        <v>17</v>
      </c>
      <c r="C473" t="s">
        <v>27</v>
      </c>
      <c r="D473" t="s">
        <v>1032</v>
      </c>
      <c r="E473" t="s">
        <v>19</v>
      </c>
      <c r="F473" t="s">
        <v>18</v>
      </c>
      <c r="G473">
        <v>11307</v>
      </c>
      <c r="H473">
        <v>5789</v>
      </c>
      <c r="I473">
        <v>438</v>
      </c>
      <c r="J473">
        <v>120</v>
      </c>
      <c r="K473">
        <v>1</v>
      </c>
      <c r="L473" t="s">
        <v>34</v>
      </c>
      <c r="M473" t="s">
        <v>21</v>
      </c>
      <c r="N473">
        <v>17096</v>
      </c>
      <c r="O473" t="s">
        <v>25</v>
      </c>
      <c r="P473" t="s">
        <v>23</v>
      </c>
    </row>
    <row r="474" spans="1:16" x14ac:dyDescent="0.3">
      <c r="A474" t="s">
        <v>504</v>
      </c>
      <c r="B474" t="s">
        <v>17</v>
      </c>
      <c r="C474" t="s">
        <v>27</v>
      </c>
      <c r="D474" t="s">
        <v>1035</v>
      </c>
      <c r="E474" t="s">
        <v>19</v>
      </c>
      <c r="F474" t="s">
        <v>18</v>
      </c>
      <c r="G474">
        <v>24261</v>
      </c>
      <c r="H474">
        <v>14580</v>
      </c>
      <c r="I474">
        <v>387</v>
      </c>
      <c r="J474">
        <v>360</v>
      </c>
      <c r="K474">
        <v>1</v>
      </c>
      <c r="L474" t="s">
        <v>20</v>
      </c>
      <c r="M474" t="s">
        <v>21</v>
      </c>
      <c r="N474">
        <v>38841</v>
      </c>
      <c r="O474" t="s">
        <v>25</v>
      </c>
      <c r="P474" t="s">
        <v>23</v>
      </c>
    </row>
    <row r="475" spans="1:16" x14ac:dyDescent="0.3">
      <c r="A475" t="s">
        <v>505</v>
      </c>
      <c r="B475" t="s">
        <v>17</v>
      </c>
      <c r="C475" t="s">
        <v>18</v>
      </c>
      <c r="D475" t="s">
        <v>1034</v>
      </c>
      <c r="E475" t="s">
        <v>19</v>
      </c>
      <c r="F475" t="s">
        <v>27</v>
      </c>
      <c r="G475">
        <v>24065</v>
      </c>
      <c r="H475">
        <v>10408</v>
      </c>
      <c r="I475">
        <v>487</v>
      </c>
      <c r="J475">
        <v>360</v>
      </c>
      <c r="K475">
        <v>0</v>
      </c>
      <c r="L475" t="s">
        <v>29</v>
      </c>
      <c r="M475" t="s">
        <v>21</v>
      </c>
      <c r="N475">
        <v>34473</v>
      </c>
      <c r="O475" t="s">
        <v>25</v>
      </c>
      <c r="P475" t="s">
        <v>32</v>
      </c>
    </row>
    <row r="476" spans="1:16" x14ac:dyDescent="0.3">
      <c r="A476" t="s">
        <v>506</v>
      </c>
      <c r="B476" t="s">
        <v>31</v>
      </c>
      <c r="C476" t="s">
        <v>18</v>
      </c>
      <c r="D476" t="s">
        <v>1035</v>
      </c>
      <c r="E476" t="s">
        <v>28</v>
      </c>
      <c r="F476" t="s">
        <v>27</v>
      </c>
      <c r="G476">
        <v>7395</v>
      </c>
      <c r="H476">
        <v>0</v>
      </c>
      <c r="I476">
        <v>347</v>
      </c>
      <c r="J476">
        <v>180</v>
      </c>
      <c r="K476">
        <v>1</v>
      </c>
      <c r="L476" t="s">
        <v>20</v>
      </c>
      <c r="M476" t="s">
        <v>21</v>
      </c>
      <c r="N476">
        <v>7395</v>
      </c>
      <c r="O476" t="s">
        <v>22</v>
      </c>
      <c r="P476" t="s">
        <v>23</v>
      </c>
    </row>
    <row r="477" spans="1:16" x14ac:dyDescent="0.3">
      <c r="A477" t="s">
        <v>507</v>
      </c>
      <c r="B477" t="s">
        <v>31</v>
      </c>
      <c r="C477" t="s">
        <v>18</v>
      </c>
      <c r="D477" t="s">
        <v>1033</v>
      </c>
      <c r="E477" t="s">
        <v>28</v>
      </c>
      <c r="F477" t="s">
        <v>27</v>
      </c>
      <c r="G477">
        <v>2990</v>
      </c>
      <c r="H477">
        <v>5968</v>
      </c>
      <c r="I477">
        <v>623</v>
      </c>
      <c r="J477">
        <v>180</v>
      </c>
      <c r="K477">
        <v>1</v>
      </c>
      <c r="L477" t="s">
        <v>20</v>
      </c>
      <c r="M477" t="s">
        <v>21</v>
      </c>
      <c r="N477">
        <v>8958</v>
      </c>
      <c r="O477" t="s">
        <v>22</v>
      </c>
      <c r="P477" t="s">
        <v>23</v>
      </c>
    </row>
    <row r="478" spans="1:16" x14ac:dyDescent="0.3">
      <c r="A478" t="s">
        <v>508</v>
      </c>
      <c r="B478" t="s">
        <v>31</v>
      </c>
      <c r="C478" t="s">
        <v>27</v>
      </c>
      <c r="D478" t="s">
        <v>1034</v>
      </c>
      <c r="E478" t="s">
        <v>28</v>
      </c>
      <c r="F478" t="s">
        <v>27</v>
      </c>
      <c r="G478">
        <v>18103</v>
      </c>
      <c r="H478">
        <v>9511</v>
      </c>
      <c r="I478">
        <v>56</v>
      </c>
      <c r="J478">
        <v>120</v>
      </c>
      <c r="K478">
        <v>1</v>
      </c>
      <c r="L478" t="s">
        <v>29</v>
      </c>
      <c r="M478" t="s">
        <v>21</v>
      </c>
      <c r="N478">
        <v>27614</v>
      </c>
      <c r="O478" t="s">
        <v>25</v>
      </c>
      <c r="P478" t="s">
        <v>23</v>
      </c>
    </row>
    <row r="479" spans="1:16" x14ac:dyDescent="0.3">
      <c r="A479" t="s">
        <v>509</v>
      </c>
      <c r="B479" t="s">
        <v>31</v>
      </c>
      <c r="C479" t="s">
        <v>18</v>
      </c>
      <c r="D479" t="s">
        <v>1033</v>
      </c>
      <c r="E479" t="s">
        <v>19</v>
      </c>
      <c r="F479" t="s">
        <v>27</v>
      </c>
      <c r="G479">
        <v>12573</v>
      </c>
      <c r="H479">
        <v>11517</v>
      </c>
      <c r="I479">
        <v>535</v>
      </c>
      <c r="J479">
        <v>120</v>
      </c>
      <c r="K479">
        <v>1</v>
      </c>
      <c r="L479" t="s">
        <v>29</v>
      </c>
      <c r="M479" t="s">
        <v>21</v>
      </c>
      <c r="N479">
        <v>24090</v>
      </c>
      <c r="O479" t="s">
        <v>25</v>
      </c>
      <c r="P479" t="s">
        <v>23</v>
      </c>
    </row>
    <row r="480" spans="1:16" x14ac:dyDescent="0.3">
      <c r="A480" t="s">
        <v>510</v>
      </c>
      <c r="B480" t="s">
        <v>17</v>
      </c>
      <c r="C480" t="s">
        <v>27</v>
      </c>
      <c r="D480" t="s">
        <v>1032</v>
      </c>
      <c r="E480" t="s">
        <v>28</v>
      </c>
      <c r="F480" t="s">
        <v>27</v>
      </c>
      <c r="G480">
        <v>3335</v>
      </c>
      <c r="H480">
        <v>14182</v>
      </c>
      <c r="I480">
        <v>628</v>
      </c>
      <c r="J480">
        <v>240</v>
      </c>
      <c r="K480">
        <v>1</v>
      </c>
      <c r="L480" t="s">
        <v>20</v>
      </c>
      <c r="M480" t="s">
        <v>21</v>
      </c>
      <c r="N480">
        <v>17517</v>
      </c>
      <c r="O480" t="s">
        <v>25</v>
      </c>
      <c r="P480" t="s">
        <v>23</v>
      </c>
    </row>
    <row r="481" spans="1:16" x14ac:dyDescent="0.3">
      <c r="A481" t="s">
        <v>511</v>
      </c>
      <c r="B481" t="s">
        <v>17</v>
      </c>
      <c r="C481" t="s">
        <v>27</v>
      </c>
      <c r="D481" t="s">
        <v>1032</v>
      </c>
      <c r="E481" t="s">
        <v>19</v>
      </c>
      <c r="F481" t="s">
        <v>18</v>
      </c>
      <c r="G481">
        <v>10690</v>
      </c>
      <c r="H481">
        <v>0</v>
      </c>
      <c r="I481">
        <v>397</v>
      </c>
      <c r="J481">
        <v>300</v>
      </c>
      <c r="K481">
        <v>1</v>
      </c>
      <c r="L481" t="s">
        <v>20</v>
      </c>
      <c r="M481" t="s">
        <v>21</v>
      </c>
      <c r="N481">
        <v>10690</v>
      </c>
      <c r="O481" t="s">
        <v>25</v>
      </c>
      <c r="P481" t="s">
        <v>23</v>
      </c>
    </row>
    <row r="482" spans="1:16" x14ac:dyDescent="0.3">
      <c r="A482" t="s">
        <v>512</v>
      </c>
      <c r="B482" t="s">
        <v>31</v>
      </c>
      <c r="C482" t="s">
        <v>18</v>
      </c>
      <c r="D482" t="s">
        <v>1034</v>
      </c>
      <c r="E482" t="s">
        <v>28</v>
      </c>
      <c r="F482" t="s">
        <v>27</v>
      </c>
      <c r="G482">
        <v>24760</v>
      </c>
      <c r="H482">
        <v>1018</v>
      </c>
      <c r="I482">
        <v>473</v>
      </c>
      <c r="J482">
        <v>120</v>
      </c>
      <c r="K482">
        <v>1</v>
      </c>
      <c r="L482" t="s">
        <v>20</v>
      </c>
      <c r="M482" t="s">
        <v>21</v>
      </c>
      <c r="N482">
        <v>25778</v>
      </c>
      <c r="O482" t="s">
        <v>25</v>
      </c>
      <c r="P482" t="s">
        <v>23</v>
      </c>
    </row>
    <row r="483" spans="1:16" x14ac:dyDescent="0.3">
      <c r="A483" t="s">
        <v>513</v>
      </c>
      <c r="B483" t="s">
        <v>31</v>
      </c>
      <c r="C483" t="s">
        <v>27</v>
      </c>
      <c r="D483" t="s">
        <v>1032</v>
      </c>
      <c r="E483" t="s">
        <v>19</v>
      </c>
      <c r="F483" t="s">
        <v>27</v>
      </c>
      <c r="G483">
        <v>7234</v>
      </c>
      <c r="H483">
        <v>2338</v>
      </c>
      <c r="I483">
        <v>88</v>
      </c>
      <c r="J483">
        <v>180</v>
      </c>
      <c r="K483">
        <v>0</v>
      </c>
      <c r="L483" t="s">
        <v>29</v>
      </c>
      <c r="M483" t="s">
        <v>21</v>
      </c>
      <c r="N483">
        <v>9572</v>
      </c>
      <c r="O483" t="s">
        <v>22</v>
      </c>
      <c r="P483" t="s">
        <v>32</v>
      </c>
    </row>
    <row r="484" spans="1:16" x14ac:dyDescent="0.3">
      <c r="A484" t="s">
        <v>514</v>
      </c>
      <c r="B484" t="s">
        <v>17</v>
      </c>
      <c r="C484" t="s">
        <v>27</v>
      </c>
      <c r="D484" t="s">
        <v>1033</v>
      </c>
      <c r="E484" t="s">
        <v>19</v>
      </c>
      <c r="F484" t="s">
        <v>27</v>
      </c>
      <c r="G484">
        <v>17342</v>
      </c>
      <c r="H484">
        <v>12500</v>
      </c>
      <c r="I484">
        <v>385</v>
      </c>
      <c r="J484">
        <v>180</v>
      </c>
      <c r="K484">
        <v>1</v>
      </c>
      <c r="L484" t="s">
        <v>20</v>
      </c>
      <c r="M484" t="s">
        <v>21</v>
      </c>
      <c r="N484">
        <v>29842</v>
      </c>
      <c r="O484" t="s">
        <v>25</v>
      </c>
      <c r="P484" t="s">
        <v>23</v>
      </c>
    </row>
    <row r="485" spans="1:16" x14ac:dyDescent="0.3">
      <c r="A485" t="s">
        <v>515</v>
      </c>
      <c r="B485" t="s">
        <v>17</v>
      </c>
      <c r="C485" t="s">
        <v>18</v>
      </c>
      <c r="D485" t="s">
        <v>1034</v>
      </c>
      <c r="E485" t="s">
        <v>28</v>
      </c>
      <c r="F485" t="s">
        <v>27</v>
      </c>
      <c r="G485">
        <v>24885</v>
      </c>
      <c r="H485">
        <v>0</v>
      </c>
      <c r="I485">
        <v>54</v>
      </c>
      <c r="J485">
        <v>240</v>
      </c>
      <c r="K485">
        <v>0</v>
      </c>
      <c r="L485" t="s">
        <v>34</v>
      </c>
      <c r="M485" t="s">
        <v>21</v>
      </c>
      <c r="N485">
        <v>24885</v>
      </c>
      <c r="O485" t="s">
        <v>25</v>
      </c>
      <c r="P485" t="s">
        <v>32</v>
      </c>
    </row>
    <row r="486" spans="1:16" x14ac:dyDescent="0.3">
      <c r="A486" t="s">
        <v>516</v>
      </c>
      <c r="B486" t="s">
        <v>17</v>
      </c>
      <c r="C486" t="s">
        <v>27</v>
      </c>
      <c r="D486" t="s">
        <v>1035</v>
      </c>
      <c r="E486" t="s">
        <v>19</v>
      </c>
      <c r="F486" t="s">
        <v>18</v>
      </c>
      <c r="G486">
        <v>18558</v>
      </c>
      <c r="H486">
        <v>13053</v>
      </c>
      <c r="I486">
        <v>73</v>
      </c>
      <c r="J486">
        <v>360</v>
      </c>
      <c r="K486">
        <v>1</v>
      </c>
      <c r="L486" t="s">
        <v>34</v>
      </c>
      <c r="M486" t="s">
        <v>21</v>
      </c>
      <c r="N486">
        <v>31611</v>
      </c>
      <c r="O486" t="s">
        <v>25</v>
      </c>
      <c r="P486" t="s">
        <v>23</v>
      </c>
    </row>
    <row r="487" spans="1:16" x14ac:dyDescent="0.3">
      <c r="A487" t="s">
        <v>517</v>
      </c>
      <c r="B487" t="s">
        <v>17</v>
      </c>
      <c r="C487" t="s">
        <v>27</v>
      </c>
      <c r="D487" t="s">
        <v>1033</v>
      </c>
      <c r="E487" t="s">
        <v>19</v>
      </c>
      <c r="F487" t="s">
        <v>27</v>
      </c>
      <c r="G487">
        <v>10565</v>
      </c>
      <c r="H487">
        <v>9220</v>
      </c>
      <c r="I487">
        <v>501</v>
      </c>
      <c r="J487">
        <v>120</v>
      </c>
      <c r="K487">
        <v>1</v>
      </c>
      <c r="L487" t="s">
        <v>20</v>
      </c>
      <c r="M487" t="s">
        <v>21</v>
      </c>
      <c r="N487">
        <v>19785</v>
      </c>
      <c r="O487" t="s">
        <v>25</v>
      </c>
      <c r="P487" t="s">
        <v>23</v>
      </c>
    </row>
    <row r="488" spans="1:16" x14ac:dyDescent="0.3">
      <c r="A488" t="s">
        <v>518</v>
      </c>
      <c r="B488" t="s">
        <v>31</v>
      </c>
      <c r="C488" t="s">
        <v>18</v>
      </c>
      <c r="D488" t="s">
        <v>1034</v>
      </c>
      <c r="E488" t="s">
        <v>19</v>
      </c>
      <c r="F488" t="s">
        <v>18</v>
      </c>
      <c r="G488">
        <v>19277</v>
      </c>
      <c r="H488">
        <v>6239</v>
      </c>
      <c r="I488">
        <v>327</v>
      </c>
      <c r="J488">
        <v>180</v>
      </c>
      <c r="K488">
        <v>0</v>
      </c>
      <c r="L488" t="s">
        <v>29</v>
      </c>
      <c r="M488" t="s">
        <v>21</v>
      </c>
      <c r="N488">
        <v>25516</v>
      </c>
      <c r="O488" t="s">
        <v>25</v>
      </c>
      <c r="P488" t="s">
        <v>32</v>
      </c>
    </row>
    <row r="489" spans="1:16" x14ac:dyDescent="0.3">
      <c r="A489" t="s">
        <v>519</v>
      </c>
      <c r="B489" t="s">
        <v>17</v>
      </c>
      <c r="C489" t="s">
        <v>18</v>
      </c>
      <c r="D489" t="s">
        <v>1034</v>
      </c>
      <c r="E489" t="s">
        <v>28</v>
      </c>
      <c r="F489" t="s">
        <v>27</v>
      </c>
      <c r="G489">
        <v>19213</v>
      </c>
      <c r="H489">
        <v>0</v>
      </c>
      <c r="I489">
        <v>183</v>
      </c>
      <c r="J489">
        <v>120</v>
      </c>
      <c r="K489">
        <v>1</v>
      </c>
      <c r="L489" t="s">
        <v>34</v>
      </c>
      <c r="M489" t="s">
        <v>21</v>
      </c>
      <c r="N489">
        <v>19213</v>
      </c>
      <c r="O489" t="s">
        <v>25</v>
      </c>
      <c r="P489" t="s">
        <v>23</v>
      </c>
    </row>
    <row r="490" spans="1:16" x14ac:dyDescent="0.3">
      <c r="A490" t="s">
        <v>520</v>
      </c>
      <c r="B490" t="s">
        <v>17</v>
      </c>
      <c r="C490" t="s">
        <v>18</v>
      </c>
      <c r="D490" t="s">
        <v>1035</v>
      </c>
      <c r="E490" t="s">
        <v>19</v>
      </c>
      <c r="F490" t="s">
        <v>18</v>
      </c>
      <c r="G490">
        <v>15474</v>
      </c>
      <c r="H490">
        <v>0</v>
      </c>
      <c r="I490">
        <v>660</v>
      </c>
      <c r="J490">
        <v>360</v>
      </c>
      <c r="K490">
        <v>1</v>
      </c>
      <c r="L490" t="s">
        <v>34</v>
      </c>
      <c r="M490" t="s">
        <v>21</v>
      </c>
      <c r="N490">
        <v>15474</v>
      </c>
      <c r="O490" t="s">
        <v>25</v>
      </c>
      <c r="P490" t="s">
        <v>23</v>
      </c>
    </row>
    <row r="491" spans="1:16" x14ac:dyDescent="0.3">
      <c r="A491" t="s">
        <v>521</v>
      </c>
      <c r="B491" t="s">
        <v>31</v>
      </c>
      <c r="C491" t="s">
        <v>27</v>
      </c>
      <c r="D491" t="s">
        <v>1032</v>
      </c>
      <c r="E491" t="s">
        <v>28</v>
      </c>
      <c r="F491" t="s">
        <v>18</v>
      </c>
      <c r="G491">
        <v>24860</v>
      </c>
      <c r="H491">
        <v>0</v>
      </c>
      <c r="I491">
        <v>526</v>
      </c>
      <c r="J491">
        <v>360</v>
      </c>
      <c r="K491">
        <v>1</v>
      </c>
      <c r="L491" t="s">
        <v>34</v>
      </c>
      <c r="M491" t="s">
        <v>21</v>
      </c>
      <c r="N491">
        <v>24860</v>
      </c>
      <c r="O491" t="s">
        <v>25</v>
      </c>
      <c r="P491" t="s">
        <v>23</v>
      </c>
    </row>
    <row r="492" spans="1:16" x14ac:dyDescent="0.3">
      <c r="A492" t="s">
        <v>522</v>
      </c>
      <c r="B492" t="s">
        <v>31</v>
      </c>
      <c r="C492" t="s">
        <v>18</v>
      </c>
      <c r="D492" t="s">
        <v>1035</v>
      </c>
      <c r="E492" t="s">
        <v>28</v>
      </c>
      <c r="F492" t="s">
        <v>27</v>
      </c>
      <c r="G492">
        <v>16918</v>
      </c>
      <c r="H492">
        <v>0</v>
      </c>
      <c r="I492">
        <v>197</v>
      </c>
      <c r="J492">
        <v>360</v>
      </c>
      <c r="K492">
        <v>1</v>
      </c>
      <c r="L492" t="s">
        <v>29</v>
      </c>
      <c r="M492" t="s">
        <v>21</v>
      </c>
      <c r="N492">
        <v>16918</v>
      </c>
      <c r="O492" t="s">
        <v>25</v>
      </c>
      <c r="P492" t="s">
        <v>23</v>
      </c>
    </row>
    <row r="493" spans="1:16" x14ac:dyDescent="0.3">
      <c r="A493" t="s">
        <v>523</v>
      </c>
      <c r="B493" t="s">
        <v>31</v>
      </c>
      <c r="C493" t="s">
        <v>18</v>
      </c>
      <c r="D493" t="s">
        <v>1032</v>
      </c>
      <c r="E493" t="s">
        <v>28</v>
      </c>
      <c r="F493" t="s">
        <v>27</v>
      </c>
      <c r="G493">
        <v>17474</v>
      </c>
      <c r="H493">
        <v>0</v>
      </c>
      <c r="I493">
        <v>536</v>
      </c>
      <c r="J493">
        <v>120</v>
      </c>
      <c r="K493">
        <v>1</v>
      </c>
      <c r="L493" t="s">
        <v>29</v>
      </c>
      <c r="M493" t="s">
        <v>21</v>
      </c>
      <c r="N493">
        <v>17474</v>
      </c>
      <c r="O493" t="s">
        <v>25</v>
      </c>
      <c r="P493" t="s">
        <v>23</v>
      </c>
    </row>
    <row r="494" spans="1:16" x14ac:dyDescent="0.3">
      <c r="A494" t="s">
        <v>524</v>
      </c>
      <c r="B494" t="s">
        <v>17</v>
      </c>
      <c r="C494" t="s">
        <v>27</v>
      </c>
      <c r="D494" t="s">
        <v>1032</v>
      </c>
      <c r="E494" t="s">
        <v>19</v>
      </c>
      <c r="F494" t="s">
        <v>18</v>
      </c>
      <c r="G494">
        <v>14793</v>
      </c>
      <c r="H494">
        <v>0</v>
      </c>
      <c r="I494">
        <v>383</v>
      </c>
      <c r="J494">
        <v>360</v>
      </c>
      <c r="K494">
        <v>1</v>
      </c>
      <c r="L494" t="s">
        <v>29</v>
      </c>
      <c r="M494" t="s">
        <v>21</v>
      </c>
      <c r="N494">
        <v>14793</v>
      </c>
      <c r="O494" t="s">
        <v>25</v>
      </c>
      <c r="P494" t="s">
        <v>23</v>
      </c>
    </row>
    <row r="495" spans="1:16" x14ac:dyDescent="0.3">
      <c r="A495" t="s">
        <v>525</v>
      </c>
      <c r="B495" t="s">
        <v>31</v>
      </c>
      <c r="C495" t="s">
        <v>27</v>
      </c>
      <c r="D495" t="s">
        <v>1035</v>
      </c>
      <c r="E495" t="s">
        <v>19</v>
      </c>
      <c r="F495" t="s">
        <v>18</v>
      </c>
      <c r="G495">
        <v>19455</v>
      </c>
      <c r="H495">
        <v>3105</v>
      </c>
      <c r="I495">
        <v>443</v>
      </c>
      <c r="J495">
        <v>120</v>
      </c>
      <c r="K495">
        <v>1</v>
      </c>
      <c r="L495" t="s">
        <v>34</v>
      </c>
      <c r="M495" t="s">
        <v>21</v>
      </c>
      <c r="N495">
        <v>22560</v>
      </c>
      <c r="O495" t="s">
        <v>25</v>
      </c>
      <c r="P495" t="s">
        <v>23</v>
      </c>
    </row>
    <row r="496" spans="1:16" x14ac:dyDescent="0.3">
      <c r="A496" t="s">
        <v>526</v>
      </c>
      <c r="B496" t="s">
        <v>31</v>
      </c>
      <c r="C496" t="s">
        <v>27</v>
      </c>
      <c r="D496" t="s">
        <v>1032</v>
      </c>
      <c r="E496" t="s">
        <v>19</v>
      </c>
      <c r="F496" t="s">
        <v>18</v>
      </c>
      <c r="G496">
        <v>23212</v>
      </c>
      <c r="H496">
        <v>0</v>
      </c>
      <c r="I496">
        <v>637</v>
      </c>
      <c r="J496">
        <v>300</v>
      </c>
      <c r="K496">
        <v>1</v>
      </c>
      <c r="L496" t="s">
        <v>34</v>
      </c>
      <c r="M496" t="s">
        <v>21</v>
      </c>
      <c r="N496">
        <v>23212</v>
      </c>
      <c r="O496" t="s">
        <v>25</v>
      </c>
      <c r="P496" t="s">
        <v>23</v>
      </c>
    </row>
    <row r="497" spans="1:16" x14ac:dyDescent="0.3">
      <c r="A497" t="s">
        <v>527</v>
      </c>
      <c r="B497" t="s">
        <v>31</v>
      </c>
      <c r="C497" t="s">
        <v>27</v>
      </c>
      <c r="D497" t="s">
        <v>1034</v>
      </c>
      <c r="E497" t="s">
        <v>28</v>
      </c>
      <c r="F497" t="s">
        <v>18</v>
      </c>
      <c r="G497">
        <v>11593</v>
      </c>
      <c r="H497">
        <v>0</v>
      </c>
      <c r="I497">
        <v>662</v>
      </c>
      <c r="J497">
        <v>120</v>
      </c>
      <c r="K497">
        <v>1</v>
      </c>
      <c r="L497" t="s">
        <v>34</v>
      </c>
      <c r="M497" t="s">
        <v>21</v>
      </c>
      <c r="N497">
        <v>11593</v>
      </c>
      <c r="O497" t="s">
        <v>25</v>
      </c>
      <c r="P497" t="s">
        <v>23</v>
      </c>
    </row>
    <row r="498" spans="1:16" x14ac:dyDescent="0.3">
      <c r="A498" t="s">
        <v>528</v>
      </c>
      <c r="B498" t="s">
        <v>31</v>
      </c>
      <c r="C498" t="s">
        <v>27</v>
      </c>
      <c r="D498" t="s">
        <v>1035</v>
      </c>
      <c r="E498" t="s">
        <v>19</v>
      </c>
      <c r="F498" t="s">
        <v>18</v>
      </c>
      <c r="G498">
        <v>8630</v>
      </c>
      <c r="H498">
        <v>0</v>
      </c>
      <c r="I498">
        <v>644</v>
      </c>
      <c r="J498">
        <v>120</v>
      </c>
      <c r="K498">
        <v>1</v>
      </c>
      <c r="L498" t="s">
        <v>34</v>
      </c>
      <c r="M498" t="s">
        <v>21</v>
      </c>
      <c r="N498">
        <v>8630</v>
      </c>
      <c r="O498" t="s">
        <v>22</v>
      </c>
      <c r="P498" t="s">
        <v>23</v>
      </c>
    </row>
    <row r="499" spans="1:16" x14ac:dyDescent="0.3">
      <c r="A499" t="s">
        <v>529</v>
      </c>
      <c r="B499" t="s">
        <v>17</v>
      </c>
      <c r="C499" t="s">
        <v>27</v>
      </c>
      <c r="D499" t="s">
        <v>1032</v>
      </c>
      <c r="E499" t="s">
        <v>28</v>
      </c>
      <c r="F499" t="s">
        <v>27</v>
      </c>
      <c r="G499">
        <v>7911</v>
      </c>
      <c r="H499">
        <v>3869</v>
      </c>
      <c r="I499">
        <v>356</v>
      </c>
      <c r="J499">
        <v>360</v>
      </c>
      <c r="K499">
        <v>0</v>
      </c>
      <c r="L499" t="s">
        <v>34</v>
      </c>
      <c r="M499" t="s">
        <v>21</v>
      </c>
      <c r="N499">
        <v>11780</v>
      </c>
      <c r="O499" t="s">
        <v>25</v>
      </c>
      <c r="P499" t="s">
        <v>32</v>
      </c>
    </row>
    <row r="500" spans="1:16" x14ac:dyDescent="0.3">
      <c r="A500" t="s">
        <v>530</v>
      </c>
      <c r="B500" t="s">
        <v>31</v>
      </c>
      <c r="C500" t="s">
        <v>27</v>
      </c>
      <c r="D500" t="s">
        <v>1032</v>
      </c>
      <c r="E500" t="s">
        <v>19</v>
      </c>
      <c r="F500" t="s">
        <v>18</v>
      </c>
      <c r="G500">
        <v>21537</v>
      </c>
      <c r="H500">
        <v>8862</v>
      </c>
      <c r="I500">
        <v>180</v>
      </c>
      <c r="J500">
        <v>240</v>
      </c>
      <c r="K500">
        <v>1</v>
      </c>
      <c r="L500" t="s">
        <v>34</v>
      </c>
      <c r="M500" t="s">
        <v>21</v>
      </c>
      <c r="N500">
        <v>30399</v>
      </c>
      <c r="O500" t="s">
        <v>25</v>
      </c>
      <c r="P500" t="s">
        <v>23</v>
      </c>
    </row>
    <row r="501" spans="1:16" x14ac:dyDescent="0.3">
      <c r="A501" t="s">
        <v>531</v>
      </c>
      <c r="B501" t="s">
        <v>17</v>
      </c>
      <c r="C501" t="s">
        <v>18</v>
      </c>
      <c r="D501" t="s">
        <v>1032</v>
      </c>
      <c r="E501" t="s">
        <v>19</v>
      </c>
      <c r="F501" t="s">
        <v>27</v>
      </c>
      <c r="G501">
        <v>2521</v>
      </c>
      <c r="H501">
        <v>4354</v>
      </c>
      <c r="I501">
        <v>654</v>
      </c>
      <c r="J501">
        <v>300</v>
      </c>
      <c r="K501">
        <v>1</v>
      </c>
      <c r="L501" t="s">
        <v>34</v>
      </c>
      <c r="M501" t="s">
        <v>21</v>
      </c>
      <c r="N501">
        <v>6875</v>
      </c>
      <c r="O501" t="s">
        <v>22</v>
      </c>
      <c r="P501" t="s">
        <v>23</v>
      </c>
    </row>
    <row r="502" spans="1:16" x14ac:dyDescent="0.3">
      <c r="A502" t="s">
        <v>532</v>
      </c>
      <c r="B502" t="s">
        <v>31</v>
      </c>
      <c r="C502" t="s">
        <v>27</v>
      </c>
      <c r="D502" t="s">
        <v>1035</v>
      </c>
      <c r="E502" t="s">
        <v>28</v>
      </c>
      <c r="F502" t="s">
        <v>18</v>
      </c>
      <c r="G502">
        <v>23208</v>
      </c>
      <c r="H502">
        <v>3341</v>
      </c>
      <c r="I502">
        <v>192</v>
      </c>
      <c r="J502">
        <v>180</v>
      </c>
      <c r="K502">
        <v>1</v>
      </c>
      <c r="L502" t="s">
        <v>29</v>
      </c>
      <c r="M502" t="s">
        <v>21</v>
      </c>
      <c r="N502">
        <v>26549</v>
      </c>
      <c r="O502" t="s">
        <v>25</v>
      </c>
      <c r="P502" t="s">
        <v>23</v>
      </c>
    </row>
    <row r="503" spans="1:16" x14ac:dyDescent="0.3">
      <c r="A503" t="s">
        <v>533</v>
      </c>
      <c r="B503" t="s">
        <v>31</v>
      </c>
      <c r="C503" t="s">
        <v>18</v>
      </c>
      <c r="D503" t="s">
        <v>1032</v>
      </c>
      <c r="E503" t="s">
        <v>19</v>
      </c>
      <c r="F503" t="s">
        <v>18</v>
      </c>
      <c r="G503">
        <v>1880</v>
      </c>
      <c r="H503">
        <v>0</v>
      </c>
      <c r="I503">
        <v>197</v>
      </c>
      <c r="J503">
        <v>300</v>
      </c>
      <c r="K503">
        <v>1</v>
      </c>
      <c r="L503" t="s">
        <v>20</v>
      </c>
      <c r="M503" t="s">
        <v>53</v>
      </c>
      <c r="N503">
        <v>1880</v>
      </c>
      <c r="O503" t="s">
        <v>35</v>
      </c>
      <c r="P503" t="s">
        <v>23</v>
      </c>
    </row>
    <row r="504" spans="1:16" x14ac:dyDescent="0.3">
      <c r="A504" t="s">
        <v>534</v>
      </c>
      <c r="B504" t="s">
        <v>17</v>
      </c>
      <c r="C504" t="s">
        <v>18</v>
      </c>
      <c r="D504" t="s">
        <v>1035</v>
      </c>
      <c r="E504" t="s">
        <v>28</v>
      </c>
      <c r="F504" t="s">
        <v>27</v>
      </c>
      <c r="G504">
        <v>21922</v>
      </c>
      <c r="H504">
        <v>3445</v>
      </c>
      <c r="I504">
        <v>571</v>
      </c>
      <c r="J504">
        <v>300</v>
      </c>
      <c r="K504">
        <v>1</v>
      </c>
      <c r="L504" t="s">
        <v>29</v>
      </c>
      <c r="M504" t="s">
        <v>21</v>
      </c>
      <c r="N504">
        <v>25367</v>
      </c>
      <c r="O504" t="s">
        <v>25</v>
      </c>
      <c r="P504" t="s">
        <v>23</v>
      </c>
    </row>
    <row r="505" spans="1:16" x14ac:dyDescent="0.3">
      <c r="A505" t="s">
        <v>535</v>
      </c>
      <c r="B505" t="s">
        <v>31</v>
      </c>
      <c r="C505" t="s">
        <v>27</v>
      </c>
      <c r="D505" t="s">
        <v>1033</v>
      </c>
      <c r="E505" t="s">
        <v>19</v>
      </c>
      <c r="F505" t="s">
        <v>27</v>
      </c>
      <c r="G505">
        <v>21310</v>
      </c>
      <c r="H505">
        <v>621</v>
      </c>
      <c r="I505">
        <v>292</v>
      </c>
      <c r="J505">
        <v>360</v>
      </c>
      <c r="K505">
        <v>1</v>
      </c>
      <c r="L505" t="s">
        <v>34</v>
      </c>
      <c r="M505" t="s">
        <v>21</v>
      </c>
      <c r="N505">
        <v>21931</v>
      </c>
      <c r="O505" t="s">
        <v>25</v>
      </c>
      <c r="P505" t="s">
        <v>23</v>
      </c>
    </row>
    <row r="506" spans="1:16" x14ac:dyDescent="0.3">
      <c r="A506" t="s">
        <v>536</v>
      </c>
      <c r="B506" t="s">
        <v>31</v>
      </c>
      <c r="C506" t="s">
        <v>18</v>
      </c>
      <c r="D506" t="s">
        <v>1034</v>
      </c>
      <c r="E506" t="s">
        <v>28</v>
      </c>
      <c r="F506" t="s">
        <v>27</v>
      </c>
      <c r="G506">
        <v>5208</v>
      </c>
      <c r="H506">
        <v>10007</v>
      </c>
      <c r="I506">
        <v>131</v>
      </c>
      <c r="J506">
        <v>180</v>
      </c>
      <c r="K506">
        <v>1</v>
      </c>
      <c r="L506" t="s">
        <v>34</v>
      </c>
      <c r="M506" t="s">
        <v>21</v>
      </c>
      <c r="N506">
        <v>15215</v>
      </c>
      <c r="O506" t="s">
        <v>25</v>
      </c>
      <c r="P506" t="s">
        <v>23</v>
      </c>
    </row>
    <row r="507" spans="1:16" x14ac:dyDescent="0.3">
      <c r="A507" t="s">
        <v>537</v>
      </c>
      <c r="B507" t="s">
        <v>31</v>
      </c>
      <c r="C507" t="s">
        <v>27</v>
      </c>
      <c r="D507" t="s">
        <v>1034</v>
      </c>
      <c r="E507" t="s">
        <v>19</v>
      </c>
      <c r="F507" t="s">
        <v>18</v>
      </c>
      <c r="G507">
        <v>16981</v>
      </c>
      <c r="H507">
        <v>0</v>
      </c>
      <c r="I507">
        <v>698</v>
      </c>
      <c r="J507">
        <v>360</v>
      </c>
      <c r="K507">
        <v>0</v>
      </c>
      <c r="L507" t="s">
        <v>29</v>
      </c>
      <c r="M507" t="s">
        <v>21</v>
      </c>
      <c r="N507">
        <v>16981</v>
      </c>
      <c r="O507" t="s">
        <v>25</v>
      </c>
      <c r="P507" t="s">
        <v>32</v>
      </c>
    </row>
    <row r="508" spans="1:16" x14ac:dyDescent="0.3">
      <c r="A508" t="s">
        <v>538</v>
      </c>
      <c r="B508" t="s">
        <v>17</v>
      </c>
      <c r="C508" t="s">
        <v>27</v>
      </c>
      <c r="D508" t="s">
        <v>1034</v>
      </c>
      <c r="E508" t="s">
        <v>28</v>
      </c>
      <c r="F508" t="s">
        <v>27</v>
      </c>
      <c r="G508">
        <v>18298</v>
      </c>
      <c r="H508">
        <v>8187</v>
      </c>
      <c r="I508">
        <v>481</v>
      </c>
      <c r="J508">
        <v>240</v>
      </c>
      <c r="K508">
        <v>0</v>
      </c>
      <c r="L508" t="s">
        <v>29</v>
      </c>
      <c r="M508" t="s">
        <v>21</v>
      </c>
      <c r="N508">
        <v>26485</v>
      </c>
      <c r="O508" t="s">
        <v>25</v>
      </c>
      <c r="P508" t="s">
        <v>32</v>
      </c>
    </row>
    <row r="509" spans="1:16" x14ac:dyDescent="0.3">
      <c r="A509" t="s">
        <v>539</v>
      </c>
      <c r="B509" t="s">
        <v>31</v>
      </c>
      <c r="C509" t="s">
        <v>18</v>
      </c>
      <c r="D509" t="s">
        <v>1034</v>
      </c>
      <c r="E509" t="s">
        <v>28</v>
      </c>
      <c r="F509" t="s">
        <v>27</v>
      </c>
      <c r="G509">
        <v>3512</v>
      </c>
      <c r="H509">
        <v>10810</v>
      </c>
      <c r="I509">
        <v>642</v>
      </c>
      <c r="J509">
        <v>180</v>
      </c>
      <c r="K509">
        <v>1</v>
      </c>
      <c r="L509" t="s">
        <v>34</v>
      </c>
      <c r="M509" t="s">
        <v>21</v>
      </c>
      <c r="N509">
        <v>14322</v>
      </c>
      <c r="O509" t="s">
        <v>25</v>
      </c>
      <c r="P509" t="s">
        <v>23</v>
      </c>
    </row>
    <row r="510" spans="1:16" x14ac:dyDescent="0.3">
      <c r="A510" t="s">
        <v>540</v>
      </c>
      <c r="B510" t="s">
        <v>31</v>
      </c>
      <c r="C510" t="s">
        <v>18</v>
      </c>
      <c r="D510" t="s">
        <v>1032</v>
      </c>
      <c r="E510" t="s">
        <v>28</v>
      </c>
      <c r="F510" t="s">
        <v>18</v>
      </c>
      <c r="G510">
        <v>5655</v>
      </c>
      <c r="H510">
        <v>0</v>
      </c>
      <c r="I510">
        <v>334</v>
      </c>
      <c r="J510">
        <v>240</v>
      </c>
      <c r="K510">
        <v>1</v>
      </c>
      <c r="L510" t="s">
        <v>29</v>
      </c>
      <c r="M510" t="s">
        <v>21</v>
      </c>
      <c r="N510">
        <v>5655</v>
      </c>
      <c r="O510" t="s">
        <v>22</v>
      </c>
      <c r="P510" t="s">
        <v>23</v>
      </c>
    </row>
    <row r="511" spans="1:16" x14ac:dyDescent="0.3">
      <c r="A511" t="s">
        <v>541</v>
      </c>
      <c r="B511" t="s">
        <v>31</v>
      </c>
      <c r="C511" t="s">
        <v>27</v>
      </c>
      <c r="D511" t="s">
        <v>1034</v>
      </c>
      <c r="E511" t="s">
        <v>19</v>
      </c>
      <c r="F511" t="s">
        <v>18</v>
      </c>
      <c r="G511">
        <v>20891</v>
      </c>
      <c r="H511">
        <v>0</v>
      </c>
      <c r="I511">
        <v>507</v>
      </c>
      <c r="J511">
        <v>240</v>
      </c>
      <c r="K511">
        <v>0</v>
      </c>
      <c r="L511" t="s">
        <v>29</v>
      </c>
      <c r="M511" t="s">
        <v>21</v>
      </c>
      <c r="N511">
        <v>20891</v>
      </c>
      <c r="O511" t="s">
        <v>25</v>
      </c>
      <c r="P511" t="s">
        <v>32</v>
      </c>
    </row>
    <row r="512" spans="1:16" x14ac:dyDescent="0.3">
      <c r="A512" t="s">
        <v>542</v>
      </c>
      <c r="B512" t="s">
        <v>17</v>
      </c>
      <c r="C512" t="s">
        <v>27</v>
      </c>
      <c r="D512" t="s">
        <v>1033</v>
      </c>
      <c r="E512" t="s">
        <v>19</v>
      </c>
      <c r="F512" t="s">
        <v>27</v>
      </c>
      <c r="G512">
        <v>4265</v>
      </c>
      <c r="H512">
        <v>0</v>
      </c>
      <c r="I512">
        <v>557</v>
      </c>
      <c r="J512">
        <v>300</v>
      </c>
      <c r="K512">
        <v>1</v>
      </c>
      <c r="L512" t="s">
        <v>20</v>
      </c>
      <c r="M512" t="s">
        <v>21</v>
      </c>
      <c r="N512">
        <v>4265</v>
      </c>
      <c r="O512" t="s">
        <v>35</v>
      </c>
      <c r="P512" t="s">
        <v>23</v>
      </c>
    </row>
    <row r="513" spans="1:16" x14ac:dyDescent="0.3">
      <c r="A513" t="s">
        <v>543</v>
      </c>
      <c r="B513" t="s">
        <v>31</v>
      </c>
      <c r="C513" t="s">
        <v>18</v>
      </c>
      <c r="D513" t="s">
        <v>1033</v>
      </c>
      <c r="E513" t="s">
        <v>28</v>
      </c>
      <c r="F513" t="s">
        <v>18</v>
      </c>
      <c r="G513">
        <v>22545</v>
      </c>
      <c r="H513">
        <v>0</v>
      </c>
      <c r="I513">
        <v>103</v>
      </c>
      <c r="J513">
        <v>180</v>
      </c>
      <c r="K513">
        <v>1</v>
      </c>
      <c r="L513" t="s">
        <v>29</v>
      </c>
      <c r="M513" t="s">
        <v>21</v>
      </c>
      <c r="N513">
        <v>22545</v>
      </c>
      <c r="O513" t="s">
        <v>25</v>
      </c>
      <c r="P513" t="s">
        <v>23</v>
      </c>
    </row>
    <row r="514" spans="1:16" x14ac:dyDescent="0.3">
      <c r="A514" t="s">
        <v>544</v>
      </c>
      <c r="B514" t="s">
        <v>31</v>
      </c>
      <c r="C514" t="s">
        <v>27</v>
      </c>
      <c r="D514" t="s">
        <v>1033</v>
      </c>
      <c r="E514" t="s">
        <v>28</v>
      </c>
      <c r="F514" t="s">
        <v>27</v>
      </c>
      <c r="G514">
        <v>17051</v>
      </c>
      <c r="H514">
        <v>0</v>
      </c>
      <c r="I514">
        <v>593</v>
      </c>
      <c r="J514">
        <v>300</v>
      </c>
      <c r="K514">
        <v>1</v>
      </c>
      <c r="L514" t="s">
        <v>29</v>
      </c>
      <c r="M514" t="s">
        <v>21</v>
      </c>
      <c r="N514">
        <v>17051</v>
      </c>
      <c r="O514" t="s">
        <v>25</v>
      </c>
      <c r="P514" t="s">
        <v>23</v>
      </c>
    </row>
    <row r="515" spans="1:16" x14ac:dyDescent="0.3">
      <c r="A515" t="s">
        <v>545</v>
      </c>
      <c r="B515" t="s">
        <v>31</v>
      </c>
      <c r="C515" t="s">
        <v>27</v>
      </c>
      <c r="D515" t="s">
        <v>1034</v>
      </c>
      <c r="E515" t="s">
        <v>19</v>
      </c>
      <c r="F515" t="s">
        <v>27</v>
      </c>
      <c r="G515">
        <v>15648</v>
      </c>
      <c r="H515">
        <v>10502</v>
      </c>
      <c r="I515">
        <v>393</v>
      </c>
      <c r="J515">
        <v>240</v>
      </c>
      <c r="K515">
        <v>1</v>
      </c>
      <c r="L515" t="s">
        <v>20</v>
      </c>
      <c r="M515" t="s">
        <v>21</v>
      </c>
      <c r="N515">
        <v>26150</v>
      </c>
      <c r="O515" t="s">
        <v>25</v>
      </c>
      <c r="P515" t="s">
        <v>23</v>
      </c>
    </row>
    <row r="516" spans="1:16" x14ac:dyDescent="0.3">
      <c r="A516" t="s">
        <v>546</v>
      </c>
      <c r="B516" t="s">
        <v>31</v>
      </c>
      <c r="C516" t="s">
        <v>27</v>
      </c>
      <c r="D516" t="s">
        <v>1035</v>
      </c>
      <c r="E516" t="s">
        <v>19</v>
      </c>
      <c r="F516" t="s">
        <v>18</v>
      </c>
      <c r="G516">
        <v>18537</v>
      </c>
      <c r="H516">
        <v>0</v>
      </c>
      <c r="I516">
        <v>370</v>
      </c>
      <c r="J516">
        <v>360</v>
      </c>
      <c r="K516">
        <v>1</v>
      </c>
      <c r="L516" t="s">
        <v>20</v>
      </c>
      <c r="M516" t="s">
        <v>21</v>
      </c>
      <c r="N516">
        <v>18537</v>
      </c>
      <c r="O516" t="s">
        <v>25</v>
      </c>
      <c r="P516" t="s">
        <v>23</v>
      </c>
    </row>
    <row r="517" spans="1:16" x14ac:dyDescent="0.3">
      <c r="A517" t="s">
        <v>547</v>
      </c>
      <c r="B517" t="s">
        <v>17</v>
      </c>
      <c r="C517" t="s">
        <v>18</v>
      </c>
      <c r="D517" t="s">
        <v>1035</v>
      </c>
      <c r="E517" t="s">
        <v>19</v>
      </c>
      <c r="F517" t="s">
        <v>18</v>
      </c>
      <c r="G517">
        <v>23962</v>
      </c>
      <c r="H517">
        <v>7806</v>
      </c>
      <c r="I517">
        <v>274</v>
      </c>
      <c r="J517">
        <v>240</v>
      </c>
      <c r="K517">
        <v>1</v>
      </c>
      <c r="L517" t="s">
        <v>20</v>
      </c>
      <c r="M517" t="s">
        <v>21</v>
      </c>
      <c r="N517">
        <v>31768</v>
      </c>
      <c r="O517" t="s">
        <v>25</v>
      </c>
      <c r="P517" t="s">
        <v>23</v>
      </c>
    </row>
    <row r="518" spans="1:16" x14ac:dyDescent="0.3">
      <c r="A518" t="s">
        <v>548</v>
      </c>
      <c r="B518" t="s">
        <v>17</v>
      </c>
      <c r="C518" t="s">
        <v>18</v>
      </c>
      <c r="D518" t="s">
        <v>1034</v>
      </c>
      <c r="E518" t="s">
        <v>19</v>
      </c>
      <c r="F518" t="s">
        <v>18</v>
      </c>
      <c r="G518">
        <v>24702</v>
      </c>
      <c r="H518">
        <v>0</v>
      </c>
      <c r="I518">
        <v>669</v>
      </c>
      <c r="J518">
        <v>180</v>
      </c>
      <c r="K518">
        <v>1</v>
      </c>
      <c r="L518" t="s">
        <v>34</v>
      </c>
      <c r="M518" t="s">
        <v>21</v>
      </c>
      <c r="N518">
        <v>24702</v>
      </c>
      <c r="O518" t="s">
        <v>25</v>
      </c>
      <c r="P518" t="s">
        <v>23</v>
      </c>
    </row>
    <row r="519" spans="1:16" x14ac:dyDescent="0.3">
      <c r="A519" t="s">
        <v>549</v>
      </c>
      <c r="B519" t="s">
        <v>17</v>
      </c>
      <c r="C519" t="s">
        <v>18</v>
      </c>
      <c r="D519" t="s">
        <v>1033</v>
      </c>
      <c r="E519" t="s">
        <v>28</v>
      </c>
      <c r="F519" t="s">
        <v>27</v>
      </c>
      <c r="G519">
        <v>16801</v>
      </c>
      <c r="H519">
        <v>0</v>
      </c>
      <c r="I519">
        <v>514</v>
      </c>
      <c r="J519">
        <v>240</v>
      </c>
      <c r="K519">
        <v>1</v>
      </c>
      <c r="L519" t="s">
        <v>34</v>
      </c>
      <c r="M519" t="s">
        <v>21</v>
      </c>
      <c r="N519">
        <v>16801</v>
      </c>
      <c r="O519" t="s">
        <v>25</v>
      </c>
      <c r="P519" t="s">
        <v>23</v>
      </c>
    </row>
    <row r="520" spans="1:16" x14ac:dyDescent="0.3">
      <c r="A520" t="s">
        <v>550</v>
      </c>
      <c r="B520" t="s">
        <v>31</v>
      </c>
      <c r="C520" t="s">
        <v>27</v>
      </c>
      <c r="D520" t="s">
        <v>1033</v>
      </c>
      <c r="E520" t="s">
        <v>19</v>
      </c>
      <c r="F520" t="s">
        <v>27</v>
      </c>
      <c r="G520">
        <v>3544</v>
      </c>
      <c r="H520">
        <v>6771</v>
      </c>
      <c r="I520">
        <v>390</v>
      </c>
      <c r="J520">
        <v>120</v>
      </c>
      <c r="K520">
        <v>1</v>
      </c>
      <c r="L520" t="s">
        <v>29</v>
      </c>
      <c r="M520" t="s">
        <v>21</v>
      </c>
      <c r="N520">
        <v>10315</v>
      </c>
      <c r="O520" t="s">
        <v>25</v>
      </c>
      <c r="P520" t="s">
        <v>23</v>
      </c>
    </row>
    <row r="521" spans="1:16" x14ac:dyDescent="0.3">
      <c r="A521" t="s">
        <v>551</v>
      </c>
      <c r="B521" t="s">
        <v>17</v>
      </c>
      <c r="C521" t="s">
        <v>27</v>
      </c>
      <c r="D521" t="s">
        <v>1034</v>
      </c>
      <c r="E521" t="s">
        <v>28</v>
      </c>
      <c r="F521" t="s">
        <v>18</v>
      </c>
      <c r="G521">
        <v>21498</v>
      </c>
      <c r="H521">
        <v>0</v>
      </c>
      <c r="I521">
        <v>553</v>
      </c>
      <c r="J521">
        <v>120</v>
      </c>
      <c r="K521">
        <v>1</v>
      </c>
      <c r="L521" t="s">
        <v>29</v>
      </c>
      <c r="M521" t="s">
        <v>21</v>
      </c>
      <c r="N521">
        <v>21498</v>
      </c>
      <c r="O521" t="s">
        <v>25</v>
      </c>
      <c r="P521" t="s">
        <v>23</v>
      </c>
    </row>
    <row r="522" spans="1:16" x14ac:dyDescent="0.3">
      <c r="A522" t="s">
        <v>552</v>
      </c>
      <c r="B522" t="s">
        <v>17</v>
      </c>
      <c r="C522" t="s">
        <v>18</v>
      </c>
      <c r="D522" t="s">
        <v>1035</v>
      </c>
      <c r="E522" t="s">
        <v>28</v>
      </c>
      <c r="F522" t="s">
        <v>18</v>
      </c>
      <c r="G522">
        <v>2642</v>
      </c>
      <c r="H522">
        <v>0</v>
      </c>
      <c r="I522">
        <v>635</v>
      </c>
      <c r="J522">
        <v>240</v>
      </c>
      <c r="K522">
        <v>1</v>
      </c>
      <c r="L522" t="s">
        <v>20</v>
      </c>
      <c r="M522" t="s">
        <v>53</v>
      </c>
      <c r="N522">
        <v>2642</v>
      </c>
      <c r="O522" t="s">
        <v>35</v>
      </c>
      <c r="P522" t="s">
        <v>23</v>
      </c>
    </row>
    <row r="523" spans="1:16" x14ac:dyDescent="0.3">
      <c r="A523" t="s">
        <v>553</v>
      </c>
      <c r="B523" t="s">
        <v>31</v>
      </c>
      <c r="C523" t="s">
        <v>18</v>
      </c>
      <c r="D523" t="s">
        <v>1034</v>
      </c>
      <c r="E523" t="s">
        <v>19</v>
      </c>
      <c r="F523" t="s">
        <v>27</v>
      </c>
      <c r="G523">
        <v>10230</v>
      </c>
      <c r="H523">
        <v>2983</v>
      </c>
      <c r="I523">
        <v>450</v>
      </c>
      <c r="J523">
        <v>360</v>
      </c>
      <c r="K523">
        <v>1</v>
      </c>
      <c r="L523" t="s">
        <v>34</v>
      </c>
      <c r="M523" t="s">
        <v>21</v>
      </c>
      <c r="N523">
        <v>13213</v>
      </c>
      <c r="O523" t="s">
        <v>25</v>
      </c>
      <c r="P523" t="s">
        <v>23</v>
      </c>
    </row>
    <row r="524" spans="1:16" x14ac:dyDescent="0.3">
      <c r="A524" t="s">
        <v>554</v>
      </c>
      <c r="B524" t="s">
        <v>31</v>
      </c>
      <c r="C524" t="s">
        <v>27</v>
      </c>
      <c r="D524" t="s">
        <v>1035</v>
      </c>
      <c r="E524" t="s">
        <v>28</v>
      </c>
      <c r="F524" t="s">
        <v>18</v>
      </c>
      <c r="G524">
        <v>19198</v>
      </c>
      <c r="H524">
        <v>0</v>
      </c>
      <c r="I524">
        <v>443</v>
      </c>
      <c r="J524">
        <v>300</v>
      </c>
      <c r="K524">
        <v>1</v>
      </c>
      <c r="L524" t="s">
        <v>34</v>
      </c>
      <c r="M524" t="s">
        <v>21</v>
      </c>
      <c r="N524">
        <v>19198</v>
      </c>
      <c r="O524" t="s">
        <v>25</v>
      </c>
      <c r="P524" t="s">
        <v>23</v>
      </c>
    </row>
    <row r="525" spans="1:16" x14ac:dyDescent="0.3">
      <c r="A525" t="s">
        <v>555</v>
      </c>
      <c r="B525" t="s">
        <v>31</v>
      </c>
      <c r="C525" t="s">
        <v>27</v>
      </c>
      <c r="D525" t="s">
        <v>1032</v>
      </c>
      <c r="E525" t="s">
        <v>28</v>
      </c>
      <c r="F525" t="s">
        <v>18</v>
      </c>
      <c r="G525">
        <v>22218</v>
      </c>
      <c r="H525">
        <v>0</v>
      </c>
      <c r="I525">
        <v>424</v>
      </c>
      <c r="J525">
        <v>360</v>
      </c>
      <c r="K525">
        <v>0</v>
      </c>
      <c r="L525" t="s">
        <v>29</v>
      </c>
      <c r="M525" t="s">
        <v>21</v>
      </c>
      <c r="N525">
        <v>22218</v>
      </c>
      <c r="O525" t="s">
        <v>25</v>
      </c>
      <c r="P525" t="s">
        <v>32</v>
      </c>
    </row>
    <row r="526" spans="1:16" x14ac:dyDescent="0.3">
      <c r="A526" t="s">
        <v>556</v>
      </c>
      <c r="B526" t="s">
        <v>17</v>
      </c>
      <c r="C526" t="s">
        <v>27</v>
      </c>
      <c r="D526" t="s">
        <v>1032</v>
      </c>
      <c r="E526" t="s">
        <v>19</v>
      </c>
      <c r="F526" t="s">
        <v>18</v>
      </c>
      <c r="G526">
        <v>19669</v>
      </c>
      <c r="H526">
        <v>1144</v>
      </c>
      <c r="I526">
        <v>245</v>
      </c>
      <c r="J526">
        <v>240</v>
      </c>
      <c r="K526">
        <v>1</v>
      </c>
      <c r="L526" t="s">
        <v>20</v>
      </c>
      <c r="M526" t="s">
        <v>21</v>
      </c>
      <c r="N526">
        <v>20813</v>
      </c>
      <c r="O526" t="s">
        <v>25</v>
      </c>
      <c r="P526" t="s">
        <v>23</v>
      </c>
    </row>
    <row r="527" spans="1:16" x14ac:dyDescent="0.3">
      <c r="A527" t="s">
        <v>557</v>
      </c>
      <c r="B527" t="s">
        <v>31</v>
      </c>
      <c r="C527" t="s">
        <v>27</v>
      </c>
      <c r="D527" t="s">
        <v>1034</v>
      </c>
      <c r="E527" t="s">
        <v>28</v>
      </c>
      <c r="F527" t="s">
        <v>18</v>
      </c>
      <c r="G527">
        <v>6085</v>
      </c>
      <c r="H527">
        <v>0</v>
      </c>
      <c r="I527">
        <v>75</v>
      </c>
      <c r="J527">
        <v>360</v>
      </c>
      <c r="K527">
        <v>1</v>
      </c>
      <c r="L527" t="s">
        <v>29</v>
      </c>
      <c r="M527" t="s">
        <v>21</v>
      </c>
      <c r="N527">
        <v>6085</v>
      </c>
      <c r="O527" t="s">
        <v>22</v>
      </c>
      <c r="P527" t="s">
        <v>23</v>
      </c>
    </row>
    <row r="528" spans="1:16" x14ac:dyDescent="0.3">
      <c r="A528" t="s">
        <v>558</v>
      </c>
      <c r="B528" t="s">
        <v>17</v>
      </c>
      <c r="C528" t="s">
        <v>27</v>
      </c>
      <c r="D528" t="s">
        <v>1035</v>
      </c>
      <c r="E528" t="s">
        <v>28</v>
      </c>
      <c r="F528" t="s">
        <v>18</v>
      </c>
      <c r="G528">
        <v>2713</v>
      </c>
      <c r="H528">
        <v>0</v>
      </c>
      <c r="I528">
        <v>395</v>
      </c>
      <c r="J528">
        <v>120</v>
      </c>
      <c r="K528">
        <v>1</v>
      </c>
      <c r="L528" t="s">
        <v>20</v>
      </c>
      <c r="M528" t="s">
        <v>53</v>
      </c>
      <c r="N528">
        <v>2713</v>
      </c>
      <c r="O528" t="s">
        <v>35</v>
      </c>
      <c r="P528" t="s">
        <v>23</v>
      </c>
    </row>
    <row r="529" spans="1:16" x14ac:dyDescent="0.3">
      <c r="A529" t="s">
        <v>559</v>
      </c>
      <c r="B529" t="s">
        <v>31</v>
      </c>
      <c r="C529" t="s">
        <v>18</v>
      </c>
      <c r="D529" t="s">
        <v>1033</v>
      </c>
      <c r="E529" t="s">
        <v>19</v>
      </c>
      <c r="F529" t="s">
        <v>18</v>
      </c>
      <c r="G529">
        <v>6139</v>
      </c>
      <c r="H529">
        <v>0</v>
      </c>
      <c r="I529">
        <v>532</v>
      </c>
      <c r="J529">
        <v>360</v>
      </c>
      <c r="K529">
        <v>1</v>
      </c>
      <c r="L529" t="s">
        <v>34</v>
      </c>
      <c r="M529" t="s">
        <v>21</v>
      </c>
      <c r="N529">
        <v>6139</v>
      </c>
      <c r="O529" t="s">
        <v>22</v>
      </c>
      <c r="P529" t="s">
        <v>23</v>
      </c>
    </row>
    <row r="530" spans="1:16" x14ac:dyDescent="0.3">
      <c r="A530" t="s">
        <v>560</v>
      </c>
      <c r="B530" t="s">
        <v>17</v>
      </c>
      <c r="C530" t="s">
        <v>18</v>
      </c>
      <c r="D530" t="s">
        <v>1033</v>
      </c>
      <c r="E530" t="s">
        <v>19</v>
      </c>
      <c r="F530" t="s">
        <v>27</v>
      </c>
      <c r="G530">
        <v>4688</v>
      </c>
      <c r="H530">
        <v>0</v>
      </c>
      <c r="I530">
        <v>655</v>
      </c>
      <c r="J530">
        <v>120</v>
      </c>
      <c r="K530">
        <v>0</v>
      </c>
      <c r="L530" t="s">
        <v>20</v>
      </c>
      <c r="M530" t="s">
        <v>53</v>
      </c>
      <c r="N530">
        <v>4688</v>
      </c>
      <c r="O530" t="s">
        <v>35</v>
      </c>
      <c r="P530" t="s">
        <v>32</v>
      </c>
    </row>
    <row r="531" spans="1:16" x14ac:dyDescent="0.3">
      <c r="A531" t="s">
        <v>561</v>
      </c>
      <c r="B531" t="s">
        <v>17</v>
      </c>
      <c r="C531" t="s">
        <v>27</v>
      </c>
      <c r="D531" t="s">
        <v>1033</v>
      </c>
      <c r="E531" t="s">
        <v>19</v>
      </c>
      <c r="F531" t="s">
        <v>18</v>
      </c>
      <c r="G531">
        <v>15466</v>
      </c>
      <c r="H531">
        <v>6027</v>
      </c>
      <c r="I531">
        <v>382</v>
      </c>
      <c r="J531">
        <v>120</v>
      </c>
      <c r="K531">
        <v>0</v>
      </c>
      <c r="L531" t="s">
        <v>34</v>
      </c>
      <c r="M531" t="s">
        <v>21</v>
      </c>
      <c r="N531">
        <v>21493</v>
      </c>
      <c r="O531" t="s">
        <v>25</v>
      </c>
      <c r="P531" t="s">
        <v>32</v>
      </c>
    </row>
    <row r="532" spans="1:16" x14ac:dyDescent="0.3">
      <c r="A532" t="s">
        <v>562</v>
      </c>
      <c r="B532" t="s">
        <v>17</v>
      </c>
      <c r="C532" t="s">
        <v>27</v>
      </c>
      <c r="D532" t="s">
        <v>1033</v>
      </c>
      <c r="E532" t="s">
        <v>19</v>
      </c>
      <c r="F532" t="s">
        <v>18</v>
      </c>
      <c r="G532">
        <v>12493</v>
      </c>
      <c r="H532">
        <v>0</v>
      </c>
      <c r="I532">
        <v>330</v>
      </c>
      <c r="J532">
        <v>180</v>
      </c>
      <c r="K532">
        <v>1</v>
      </c>
      <c r="L532" t="s">
        <v>20</v>
      </c>
      <c r="M532" t="s">
        <v>21</v>
      </c>
      <c r="N532">
        <v>12493</v>
      </c>
      <c r="O532" t="s">
        <v>25</v>
      </c>
      <c r="P532" t="s">
        <v>23</v>
      </c>
    </row>
    <row r="533" spans="1:16" x14ac:dyDescent="0.3">
      <c r="A533" t="s">
        <v>563</v>
      </c>
      <c r="B533" t="s">
        <v>31</v>
      </c>
      <c r="C533" t="s">
        <v>18</v>
      </c>
      <c r="D533" t="s">
        <v>1035</v>
      </c>
      <c r="E533" t="s">
        <v>19</v>
      </c>
      <c r="F533" t="s">
        <v>18</v>
      </c>
      <c r="G533">
        <v>5870</v>
      </c>
      <c r="H533">
        <v>2137</v>
      </c>
      <c r="I533">
        <v>211</v>
      </c>
      <c r="J533">
        <v>120</v>
      </c>
      <c r="K533">
        <v>0</v>
      </c>
      <c r="L533" t="s">
        <v>20</v>
      </c>
      <c r="M533" t="s">
        <v>21</v>
      </c>
      <c r="N533">
        <v>8007</v>
      </c>
      <c r="O533" t="s">
        <v>22</v>
      </c>
      <c r="P533" t="s">
        <v>32</v>
      </c>
    </row>
    <row r="534" spans="1:16" x14ac:dyDescent="0.3">
      <c r="A534" t="s">
        <v>564</v>
      </c>
      <c r="B534" t="s">
        <v>17</v>
      </c>
      <c r="C534" t="s">
        <v>18</v>
      </c>
      <c r="D534" t="s">
        <v>1033</v>
      </c>
      <c r="E534" t="s">
        <v>19</v>
      </c>
      <c r="F534" t="s">
        <v>27</v>
      </c>
      <c r="G534">
        <v>15138</v>
      </c>
      <c r="H534">
        <v>11862</v>
      </c>
      <c r="I534">
        <v>179</v>
      </c>
      <c r="J534">
        <v>180</v>
      </c>
      <c r="K534">
        <v>1</v>
      </c>
      <c r="L534" t="s">
        <v>29</v>
      </c>
      <c r="M534" t="s">
        <v>21</v>
      </c>
      <c r="N534">
        <v>27000</v>
      </c>
      <c r="O534" t="s">
        <v>25</v>
      </c>
      <c r="P534" t="s">
        <v>23</v>
      </c>
    </row>
    <row r="535" spans="1:16" x14ac:dyDescent="0.3">
      <c r="A535" t="s">
        <v>565</v>
      </c>
      <c r="B535" t="s">
        <v>31</v>
      </c>
      <c r="C535" t="s">
        <v>27</v>
      </c>
      <c r="D535" t="s">
        <v>1033</v>
      </c>
      <c r="E535" t="s">
        <v>19</v>
      </c>
      <c r="F535" t="s">
        <v>18</v>
      </c>
      <c r="G535">
        <v>21038</v>
      </c>
      <c r="H535">
        <v>3449</v>
      </c>
      <c r="I535">
        <v>676</v>
      </c>
      <c r="J535">
        <v>120</v>
      </c>
      <c r="K535">
        <v>1</v>
      </c>
      <c r="L535" t="s">
        <v>29</v>
      </c>
      <c r="M535" t="s">
        <v>21</v>
      </c>
      <c r="N535">
        <v>24487</v>
      </c>
      <c r="O535" t="s">
        <v>25</v>
      </c>
      <c r="P535" t="s">
        <v>23</v>
      </c>
    </row>
    <row r="536" spans="1:16" x14ac:dyDescent="0.3">
      <c r="A536" t="s">
        <v>566</v>
      </c>
      <c r="B536" t="s">
        <v>31</v>
      </c>
      <c r="C536" t="s">
        <v>27</v>
      </c>
      <c r="D536" t="s">
        <v>1034</v>
      </c>
      <c r="E536" t="s">
        <v>19</v>
      </c>
      <c r="F536" t="s">
        <v>18</v>
      </c>
      <c r="G536">
        <v>5350</v>
      </c>
      <c r="H536">
        <v>0</v>
      </c>
      <c r="I536">
        <v>683</v>
      </c>
      <c r="J536">
        <v>240</v>
      </c>
      <c r="K536">
        <v>0</v>
      </c>
      <c r="L536" t="s">
        <v>34</v>
      </c>
      <c r="M536" t="s">
        <v>53</v>
      </c>
      <c r="N536">
        <v>5350</v>
      </c>
      <c r="O536" t="s">
        <v>22</v>
      </c>
      <c r="P536" t="s">
        <v>32</v>
      </c>
    </row>
    <row r="537" spans="1:16" x14ac:dyDescent="0.3">
      <c r="A537" t="s">
        <v>567</v>
      </c>
      <c r="B537" t="s">
        <v>17</v>
      </c>
      <c r="C537" t="s">
        <v>27</v>
      </c>
      <c r="D537" t="s">
        <v>1033</v>
      </c>
      <c r="E537" t="s">
        <v>28</v>
      </c>
      <c r="F537" t="s">
        <v>18</v>
      </c>
      <c r="G537">
        <v>7847</v>
      </c>
      <c r="H537">
        <v>0</v>
      </c>
      <c r="I537">
        <v>535</v>
      </c>
      <c r="J537">
        <v>300</v>
      </c>
      <c r="K537">
        <v>1</v>
      </c>
      <c r="L537" t="s">
        <v>34</v>
      </c>
      <c r="M537" t="s">
        <v>21</v>
      </c>
      <c r="N537">
        <v>7847</v>
      </c>
      <c r="O537" t="s">
        <v>22</v>
      </c>
      <c r="P537" t="s">
        <v>23</v>
      </c>
    </row>
    <row r="538" spans="1:16" x14ac:dyDescent="0.3">
      <c r="A538" t="s">
        <v>568</v>
      </c>
      <c r="B538" t="s">
        <v>17</v>
      </c>
      <c r="C538" t="s">
        <v>18</v>
      </c>
      <c r="D538" t="s">
        <v>1032</v>
      </c>
      <c r="E538" t="s">
        <v>28</v>
      </c>
      <c r="F538" t="s">
        <v>18</v>
      </c>
      <c r="G538">
        <v>15743</v>
      </c>
      <c r="H538">
        <v>4618</v>
      </c>
      <c r="I538">
        <v>681</v>
      </c>
      <c r="J538">
        <v>300</v>
      </c>
      <c r="K538">
        <v>1</v>
      </c>
      <c r="L538" t="s">
        <v>34</v>
      </c>
      <c r="M538" t="s">
        <v>21</v>
      </c>
      <c r="N538">
        <v>20361</v>
      </c>
      <c r="O538" t="s">
        <v>25</v>
      </c>
      <c r="P538" t="s">
        <v>23</v>
      </c>
    </row>
    <row r="539" spans="1:16" x14ac:dyDescent="0.3">
      <c r="A539" t="s">
        <v>569</v>
      </c>
      <c r="B539" t="s">
        <v>17</v>
      </c>
      <c r="C539" t="s">
        <v>18</v>
      </c>
      <c r="D539" t="s">
        <v>1033</v>
      </c>
      <c r="E539" t="s">
        <v>19</v>
      </c>
      <c r="F539" t="s">
        <v>27</v>
      </c>
      <c r="G539">
        <v>18372</v>
      </c>
      <c r="H539">
        <v>0</v>
      </c>
      <c r="I539">
        <v>290</v>
      </c>
      <c r="J539">
        <v>300</v>
      </c>
      <c r="K539">
        <v>1</v>
      </c>
      <c r="L539" t="s">
        <v>29</v>
      </c>
      <c r="M539" t="s">
        <v>21</v>
      </c>
      <c r="N539">
        <v>18372</v>
      </c>
      <c r="O539" t="s">
        <v>25</v>
      </c>
      <c r="P539" t="s">
        <v>23</v>
      </c>
    </row>
    <row r="540" spans="1:16" x14ac:dyDescent="0.3">
      <c r="A540" t="s">
        <v>570</v>
      </c>
      <c r="B540" t="s">
        <v>31</v>
      </c>
      <c r="C540" t="s">
        <v>18</v>
      </c>
      <c r="D540" t="s">
        <v>1032</v>
      </c>
      <c r="E540" t="s">
        <v>19</v>
      </c>
      <c r="F540" t="s">
        <v>18</v>
      </c>
      <c r="G540">
        <v>12186</v>
      </c>
      <c r="H540">
        <v>0</v>
      </c>
      <c r="I540">
        <v>292</v>
      </c>
      <c r="J540">
        <v>300</v>
      </c>
      <c r="K540">
        <v>0</v>
      </c>
      <c r="L540" t="s">
        <v>29</v>
      </c>
      <c r="M540" t="s">
        <v>21</v>
      </c>
      <c r="N540">
        <v>12186</v>
      </c>
      <c r="O540" t="s">
        <v>25</v>
      </c>
      <c r="P540" t="s">
        <v>32</v>
      </c>
    </row>
    <row r="541" spans="1:16" x14ac:dyDescent="0.3">
      <c r="A541" t="s">
        <v>571</v>
      </c>
      <c r="B541" t="s">
        <v>17</v>
      </c>
      <c r="C541" t="s">
        <v>18</v>
      </c>
      <c r="D541" t="s">
        <v>1035</v>
      </c>
      <c r="E541" t="s">
        <v>28</v>
      </c>
      <c r="F541" t="s">
        <v>18</v>
      </c>
      <c r="G541">
        <v>15782</v>
      </c>
      <c r="H541">
        <v>0</v>
      </c>
      <c r="I541">
        <v>674</v>
      </c>
      <c r="J541">
        <v>300</v>
      </c>
      <c r="K541">
        <v>1</v>
      </c>
      <c r="L541" t="s">
        <v>29</v>
      </c>
      <c r="M541" t="s">
        <v>21</v>
      </c>
      <c r="N541">
        <v>15782</v>
      </c>
      <c r="O541" t="s">
        <v>25</v>
      </c>
      <c r="P541" t="s">
        <v>23</v>
      </c>
    </row>
    <row r="542" spans="1:16" x14ac:dyDescent="0.3">
      <c r="A542" t="s">
        <v>572</v>
      </c>
      <c r="B542" t="s">
        <v>17</v>
      </c>
      <c r="C542" t="s">
        <v>27</v>
      </c>
      <c r="D542" t="s">
        <v>1033</v>
      </c>
      <c r="E542" t="s">
        <v>28</v>
      </c>
      <c r="F542" t="s">
        <v>27</v>
      </c>
      <c r="G542">
        <v>8126</v>
      </c>
      <c r="H542">
        <v>0</v>
      </c>
      <c r="I542">
        <v>82</v>
      </c>
      <c r="J542">
        <v>360</v>
      </c>
      <c r="K542">
        <v>1</v>
      </c>
      <c r="L542" t="s">
        <v>20</v>
      </c>
      <c r="M542" t="s">
        <v>21</v>
      </c>
      <c r="N542">
        <v>8126</v>
      </c>
      <c r="O542" t="s">
        <v>22</v>
      </c>
      <c r="P542" t="s">
        <v>23</v>
      </c>
    </row>
    <row r="543" spans="1:16" x14ac:dyDescent="0.3">
      <c r="A543" t="s">
        <v>573</v>
      </c>
      <c r="B543" t="s">
        <v>17</v>
      </c>
      <c r="C543" t="s">
        <v>27</v>
      </c>
      <c r="D543" t="s">
        <v>1035</v>
      </c>
      <c r="E543" t="s">
        <v>28</v>
      </c>
      <c r="F543" t="s">
        <v>18</v>
      </c>
      <c r="G543">
        <v>12758</v>
      </c>
      <c r="H543">
        <v>4102</v>
      </c>
      <c r="I543">
        <v>668</v>
      </c>
      <c r="J543">
        <v>180</v>
      </c>
      <c r="K543">
        <v>0</v>
      </c>
      <c r="L543" t="s">
        <v>34</v>
      </c>
      <c r="M543" t="s">
        <v>21</v>
      </c>
      <c r="N543">
        <v>16860</v>
      </c>
      <c r="O543" t="s">
        <v>25</v>
      </c>
      <c r="P543" t="s">
        <v>32</v>
      </c>
    </row>
    <row r="544" spans="1:16" x14ac:dyDescent="0.3">
      <c r="A544" t="s">
        <v>574</v>
      </c>
      <c r="B544" t="s">
        <v>17</v>
      </c>
      <c r="C544" t="s">
        <v>18</v>
      </c>
      <c r="D544" t="s">
        <v>1034</v>
      </c>
      <c r="E544" t="s">
        <v>28</v>
      </c>
      <c r="F544" t="s">
        <v>27</v>
      </c>
      <c r="G544">
        <v>8592</v>
      </c>
      <c r="H544">
        <v>10192</v>
      </c>
      <c r="I544">
        <v>523</v>
      </c>
      <c r="J544">
        <v>240</v>
      </c>
      <c r="K544">
        <v>1</v>
      </c>
      <c r="L544" t="s">
        <v>29</v>
      </c>
      <c r="M544" t="s">
        <v>21</v>
      </c>
      <c r="N544">
        <v>18784</v>
      </c>
      <c r="O544" t="s">
        <v>25</v>
      </c>
      <c r="P544" t="s">
        <v>23</v>
      </c>
    </row>
    <row r="545" spans="1:16" x14ac:dyDescent="0.3">
      <c r="A545" t="s">
        <v>575</v>
      </c>
      <c r="B545" t="s">
        <v>17</v>
      </c>
      <c r="C545" t="s">
        <v>18</v>
      </c>
      <c r="D545" t="s">
        <v>1032</v>
      </c>
      <c r="E545" t="s">
        <v>28</v>
      </c>
      <c r="F545" t="s">
        <v>18</v>
      </c>
      <c r="G545">
        <v>20891</v>
      </c>
      <c r="H545">
        <v>0</v>
      </c>
      <c r="I545">
        <v>477</v>
      </c>
      <c r="J545">
        <v>120</v>
      </c>
      <c r="K545">
        <v>1</v>
      </c>
      <c r="L545" t="s">
        <v>29</v>
      </c>
      <c r="M545" t="s">
        <v>21</v>
      </c>
      <c r="N545">
        <v>20891</v>
      </c>
      <c r="O545" t="s">
        <v>25</v>
      </c>
      <c r="P545" t="s">
        <v>23</v>
      </c>
    </row>
    <row r="546" spans="1:16" x14ac:dyDescent="0.3">
      <c r="A546" t="s">
        <v>576</v>
      </c>
      <c r="B546" t="s">
        <v>17</v>
      </c>
      <c r="C546" t="s">
        <v>27</v>
      </c>
      <c r="D546" t="s">
        <v>1035</v>
      </c>
      <c r="E546" t="s">
        <v>28</v>
      </c>
      <c r="F546" t="s">
        <v>18</v>
      </c>
      <c r="G546">
        <v>16325</v>
      </c>
      <c r="H546">
        <v>0</v>
      </c>
      <c r="I546">
        <v>135</v>
      </c>
      <c r="J546">
        <v>360</v>
      </c>
      <c r="K546">
        <v>1</v>
      </c>
      <c r="L546" t="s">
        <v>34</v>
      </c>
      <c r="M546" t="s">
        <v>21</v>
      </c>
      <c r="N546">
        <v>16325</v>
      </c>
      <c r="O546" t="s">
        <v>25</v>
      </c>
      <c r="P546" t="s">
        <v>23</v>
      </c>
    </row>
    <row r="547" spans="1:16" x14ac:dyDescent="0.3">
      <c r="A547" t="s">
        <v>577</v>
      </c>
      <c r="B547" t="s">
        <v>31</v>
      </c>
      <c r="C547" t="s">
        <v>18</v>
      </c>
      <c r="D547" t="s">
        <v>1033</v>
      </c>
      <c r="E547" t="s">
        <v>28</v>
      </c>
      <c r="F547" t="s">
        <v>27</v>
      </c>
      <c r="G547">
        <v>9333</v>
      </c>
      <c r="H547">
        <v>0</v>
      </c>
      <c r="I547">
        <v>66</v>
      </c>
      <c r="J547">
        <v>300</v>
      </c>
      <c r="K547">
        <v>1</v>
      </c>
      <c r="L547" t="s">
        <v>20</v>
      </c>
      <c r="M547" t="s">
        <v>21</v>
      </c>
      <c r="N547">
        <v>9333</v>
      </c>
      <c r="O547" t="s">
        <v>22</v>
      </c>
      <c r="P547" t="s">
        <v>23</v>
      </c>
    </row>
    <row r="548" spans="1:16" x14ac:dyDescent="0.3">
      <c r="A548" t="s">
        <v>578</v>
      </c>
      <c r="B548" t="s">
        <v>31</v>
      </c>
      <c r="C548" t="s">
        <v>18</v>
      </c>
      <c r="D548" t="s">
        <v>1035</v>
      </c>
      <c r="E548" t="s">
        <v>28</v>
      </c>
      <c r="F548" t="s">
        <v>18</v>
      </c>
      <c r="G548">
        <v>24540</v>
      </c>
      <c r="H548">
        <v>0</v>
      </c>
      <c r="I548">
        <v>429</v>
      </c>
      <c r="J548">
        <v>300</v>
      </c>
      <c r="K548">
        <v>1</v>
      </c>
      <c r="L548" t="s">
        <v>20</v>
      </c>
      <c r="M548" t="s">
        <v>21</v>
      </c>
      <c r="N548">
        <v>24540</v>
      </c>
      <c r="O548" t="s">
        <v>25</v>
      </c>
      <c r="P548" t="s">
        <v>23</v>
      </c>
    </row>
    <row r="549" spans="1:16" x14ac:dyDescent="0.3">
      <c r="A549" t="s">
        <v>579</v>
      </c>
      <c r="B549" t="s">
        <v>17</v>
      </c>
      <c r="C549" t="s">
        <v>27</v>
      </c>
      <c r="D549" t="s">
        <v>1032</v>
      </c>
      <c r="E549" t="s">
        <v>19</v>
      </c>
      <c r="F549" t="s">
        <v>27</v>
      </c>
      <c r="G549">
        <v>15455</v>
      </c>
      <c r="H549">
        <v>12835</v>
      </c>
      <c r="I549">
        <v>677</v>
      </c>
      <c r="J549">
        <v>360</v>
      </c>
      <c r="K549">
        <v>1</v>
      </c>
      <c r="L549" t="s">
        <v>20</v>
      </c>
      <c r="M549" t="s">
        <v>21</v>
      </c>
      <c r="N549">
        <v>28290</v>
      </c>
      <c r="O549" t="s">
        <v>25</v>
      </c>
      <c r="P549" t="s">
        <v>23</v>
      </c>
    </row>
    <row r="550" spans="1:16" x14ac:dyDescent="0.3">
      <c r="A550" t="s">
        <v>580</v>
      </c>
      <c r="B550" t="s">
        <v>17</v>
      </c>
      <c r="C550" t="s">
        <v>27</v>
      </c>
      <c r="D550" t="s">
        <v>1034</v>
      </c>
      <c r="E550" t="s">
        <v>28</v>
      </c>
      <c r="F550" t="s">
        <v>18</v>
      </c>
      <c r="G550">
        <v>5136</v>
      </c>
      <c r="H550">
        <v>6774</v>
      </c>
      <c r="I550">
        <v>526</v>
      </c>
      <c r="J550">
        <v>360</v>
      </c>
      <c r="K550">
        <v>1</v>
      </c>
      <c r="L550" t="s">
        <v>29</v>
      </c>
      <c r="M550" t="s">
        <v>21</v>
      </c>
      <c r="N550">
        <v>11910</v>
      </c>
      <c r="O550" t="s">
        <v>25</v>
      </c>
      <c r="P550" t="s">
        <v>23</v>
      </c>
    </row>
    <row r="551" spans="1:16" x14ac:dyDescent="0.3">
      <c r="A551" t="s">
        <v>581</v>
      </c>
      <c r="B551" t="s">
        <v>17</v>
      </c>
      <c r="C551" t="s">
        <v>18</v>
      </c>
      <c r="D551" t="s">
        <v>1033</v>
      </c>
      <c r="E551" t="s">
        <v>19</v>
      </c>
      <c r="F551" t="s">
        <v>27</v>
      </c>
      <c r="G551">
        <v>9319</v>
      </c>
      <c r="H551">
        <v>0</v>
      </c>
      <c r="I551">
        <v>539</v>
      </c>
      <c r="J551">
        <v>360</v>
      </c>
      <c r="K551">
        <v>0</v>
      </c>
      <c r="L551" t="s">
        <v>34</v>
      </c>
      <c r="M551" t="s">
        <v>21</v>
      </c>
      <c r="N551">
        <v>9319</v>
      </c>
      <c r="O551" t="s">
        <v>22</v>
      </c>
      <c r="P551" t="s">
        <v>32</v>
      </c>
    </row>
    <row r="552" spans="1:16" x14ac:dyDescent="0.3">
      <c r="A552" t="s">
        <v>582</v>
      </c>
      <c r="B552" t="s">
        <v>17</v>
      </c>
      <c r="C552" t="s">
        <v>18</v>
      </c>
      <c r="D552" t="s">
        <v>1032</v>
      </c>
      <c r="E552" t="s">
        <v>28</v>
      </c>
      <c r="F552" t="s">
        <v>27</v>
      </c>
      <c r="G552">
        <v>18000</v>
      </c>
      <c r="H552">
        <v>11644</v>
      </c>
      <c r="I552">
        <v>333</v>
      </c>
      <c r="J552">
        <v>120</v>
      </c>
      <c r="K552">
        <v>1</v>
      </c>
      <c r="L552" t="s">
        <v>29</v>
      </c>
      <c r="M552" t="s">
        <v>21</v>
      </c>
      <c r="N552">
        <v>29644</v>
      </c>
      <c r="O552" t="s">
        <v>25</v>
      </c>
      <c r="P552" t="s">
        <v>23</v>
      </c>
    </row>
    <row r="553" spans="1:16" x14ac:dyDescent="0.3">
      <c r="A553" t="s">
        <v>583</v>
      </c>
      <c r="B553" t="s">
        <v>31</v>
      </c>
      <c r="C553" t="s">
        <v>27</v>
      </c>
      <c r="D553" t="s">
        <v>1034</v>
      </c>
      <c r="E553" t="s">
        <v>28</v>
      </c>
      <c r="F553" t="s">
        <v>27</v>
      </c>
      <c r="G553">
        <v>16310</v>
      </c>
      <c r="H553">
        <v>10673</v>
      </c>
      <c r="I553">
        <v>117</v>
      </c>
      <c r="J553">
        <v>180</v>
      </c>
      <c r="K553">
        <v>0</v>
      </c>
      <c r="L553" t="s">
        <v>29</v>
      </c>
      <c r="M553" t="s">
        <v>21</v>
      </c>
      <c r="N553">
        <v>26983</v>
      </c>
      <c r="O553" t="s">
        <v>25</v>
      </c>
      <c r="P553" t="s">
        <v>32</v>
      </c>
    </row>
    <row r="554" spans="1:16" x14ac:dyDescent="0.3">
      <c r="A554" t="s">
        <v>584</v>
      </c>
      <c r="B554" t="s">
        <v>17</v>
      </c>
      <c r="C554" t="s">
        <v>18</v>
      </c>
      <c r="D554" t="s">
        <v>1035</v>
      </c>
      <c r="E554" t="s">
        <v>19</v>
      </c>
      <c r="F554" t="s">
        <v>27</v>
      </c>
      <c r="G554">
        <v>4021</v>
      </c>
      <c r="H554">
        <v>0</v>
      </c>
      <c r="I554">
        <v>332</v>
      </c>
      <c r="J554">
        <v>120</v>
      </c>
      <c r="K554">
        <v>1</v>
      </c>
      <c r="L554" t="s">
        <v>29</v>
      </c>
      <c r="M554" t="s">
        <v>21</v>
      </c>
      <c r="N554">
        <v>4021</v>
      </c>
      <c r="O554" t="s">
        <v>35</v>
      </c>
      <c r="P554" t="s">
        <v>23</v>
      </c>
    </row>
    <row r="555" spans="1:16" x14ac:dyDescent="0.3">
      <c r="A555" t="s">
        <v>585</v>
      </c>
      <c r="B555" t="s">
        <v>17</v>
      </c>
      <c r="C555" t="s">
        <v>18</v>
      </c>
      <c r="D555" t="s">
        <v>1034</v>
      </c>
      <c r="E555" t="s">
        <v>28</v>
      </c>
      <c r="F555" t="s">
        <v>27</v>
      </c>
      <c r="G555">
        <v>23860</v>
      </c>
      <c r="H555">
        <v>0</v>
      </c>
      <c r="I555">
        <v>535</v>
      </c>
      <c r="J555">
        <v>240</v>
      </c>
      <c r="K555">
        <v>1</v>
      </c>
      <c r="L555" t="s">
        <v>34</v>
      </c>
      <c r="M555" t="s">
        <v>21</v>
      </c>
      <c r="N555">
        <v>23860</v>
      </c>
      <c r="O555" t="s">
        <v>25</v>
      </c>
      <c r="P555" t="s">
        <v>23</v>
      </c>
    </row>
    <row r="556" spans="1:16" x14ac:dyDescent="0.3">
      <c r="A556" t="s">
        <v>586</v>
      </c>
      <c r="B556" t="s">
        <v>17</v>
      </c>
      <c r="C556" t="s">
        <v>27</v>
      </c>
      <c r="D556" t="s">
        <v>1033</v>
      </c>
      <c r="E556" t="s">
        <v>19</v>
      </c>
      <c r="F556" t="s">
        <v>18</v>
      </c>
      <c r="G556">
        <v>9112</v>
      </c>
      <c r="H556">
        <v>14179</v>
      </c>
      <c r="I556">
        <v>471</v>
      </c>
      <c r="J556">
        <v>360</v>
      </c>
      <c r="K556">
        <v>1</v>
      </c>
      <c r="L556" t="s">
        <v>34</v>
      </c>
      <c r="M556" t="s">
        <v>21</v>
      </c>
      <c r="N556">
        <v>23291</v>
      </c>
      <c r="O556" t="s">
        <v>25</v>
      </c>
      <c r="P556" t="s">
        <v>23</v>
      </c>
    </row>
    <row r="557" spans="1:16" x14ac:dyDescent="0.3">
      <c r="A557" t="s">
        <v>587</v>
      </c>
      <c r="B557" t="s">
        <v>31</v>
      </c>
      <c r="C557" t="s">
        <v>27</v>
      </c>
      <c r="D557" t="s">
        <v>1035</v>
      </c>
      <c r="E557" t="s">
        <v>28</v>
      </c>
      <c r="F557" t="s">
        <v>27</v>
      </c>
      <c r="G557">
        <v>20087</v>
      </c>
      <c r="H557">
        <v>2661</v>
      </c>
      <c r="I557">
        <v>225</v>
      </c>
      <c r="J557">
        <v>240</v>
      </c>
      <c r="K557">
        <v>1</v>
      </c>
      <c r="L557" t="s">
        <v>29</v>
      </c>
      <c r="M557" t="s">
        <v>21</v>
      </c>
      <c r="N557">
        <v>22748</v>
      </c>
      <c r="O557" t="s">
        <v>25</v>
      </c>
      <c r="P557" t="s">
        <v>23</v>
      </c>
    </row>
    <row r="558" spans="1:16" x14ac:dyDescent="0.3">
      <c r="A558" t="s">
        <v>588</v>
      </c>
      <c r="B558" t="s">
        <v>31</v>
      </c>
      <c r="C558" t="s">
        <v>18</v>
      </c>
      <c r="D558" t="s">
        <v>1033</v>
      </c>
      <c r="E558" t="s">
        <v>28</v>
      </c>
      <c r="F558" t="s">
        <v>27</v>
      </c>
      <c r="G558">
        <v>16439</v>
      </c>
      <c r="H558">
        <v>0</v>
      </c>
      <c r="I558">
        <v>598</v>
      </c>
      <c r="J558">
        <v>240</v>
      </c>
      <c r="K558">
        <v>1</v>
      </c>
      <c r="L558" t="s">
        <v>20</v>
      </c>
      <c r="M558" t="s">
        <v>21</v>
      </c>
      <c r="N558">
        <v>16439</v>
      </c>
      <c r="O558" t="s">
        <v>25</v>
      </c>
      <c r="P558" t="s">
        <v>23</v>
      </c>
    </row>
    <row r="559" spans="1:16" x14ac:dyDescent="0.3">
      <c r="A559" t="s">
        <v>589</v>
      </c>
      <c r="B559" t="s">
        <v>17</v>
      </c>
      <c r="C559" t="s">
        <v>18</v>
      </c>
      <c r="D559" t="s">
        <v>1033</v>
      </c>
      <c r="E559" t="s">
        <v>19</v>
      </c>
      <c r="F559" t="s">
        <v>18</v>
      </c>
      <c r="G559">
        <v>11875</v>
      </c>
      <c r="H559">
        <v>0</v>
      </c>
      <c r="I559">
        <v>501</v>
      </c>
      <c r="J559">
        <v>240</v>
      </c>
      <c r="K559">
        <v>1</v>
      </c>
      <c r="L559" t="s">
        <v>20</v>
      </c>
      <c r="M559" t="s">
        <v>21</v>
      </c>
      <c r="N559">
        <v>11875</v>
      </c>
      <c r="O559" t="s">
        <v>25</v>
      </c>
      <c r="P559" t="s">
        <v>23</v>
      </c>
    </row>
    <row r="560" spans="1:16" x14ac:dyDescent="0.3">
      <c r="A560" t="s">
        <v>590</v>
      </c>
      <c r="B560" t="s">
        <v>17</v>
      </c>
      <c r="C560" t="s">
        <v>27</v>
      </c>
      <c r="D560" t="s">
        <v>1032</v>
      </c>
      <c r="E560" t="s">
        <v>19</v>
      </c>
      <c r="F560" t="s">
        <v>27</v>
      </c>
      <c r="G560">
        <v>16194</v>
      </c>
      <c r="H560">
        <v>0</v>
      </c>
      <c r="I560">
        <v>596</v>
      </c>
      <c r="J560">
        <v>240</v>
      </c>
      <c r="K560">
        <v>1</v>
      </c>
      <c r="L560" t="s">
        <v>20</v>
      </c>
      <c r="M560" t="s">
        <v>21</v>
      </c>
      <c r="N560">
        <v>16194</v>
      </c>
      <c r="O560" t="s">
        <v>25</v>
      </c>
      <c r="P560" t="s">
        <v>23</v>
      </c>
    </row>
    <row r="561" spans="1:16" x14ac:dyDescent="0.3">
      <c r="A561" t="s">
        <v>591</v>
      </c>
      <c r="B561" t="s">
        <v>31</v>
      </c>
      <c r="C561" t="s">
        <v>27</v>
      </c>
      <c r="D561" t="s">
        <v>1033</v>
      </c>
      <c r="E561" t="s">
        <v>28</v>
      </c>
      <c r="F561" t="s">
        <v>27</v>
      </c>
      <c r="G561">
        <v>6613</v>
      </c>
      <c r="H561">
        <v>570</v>
      </c>
      <c r="I561">
        <v>352</v>
      </c>
      <c r="J561">
        <v>300</v>
      </c>
      <c r="K561">
        <v>0</v>
      </c>
      <c r="L561" t="s">
        <v>34</v>
      </c>
      <c r="M561" t="s">
        <v>53</v>
      </c>
      <c r="N561">
        <v>7183</v>
      </c>
      <c r="O561" t="s">
        <v>22</v>
      </c>
      <c r="P561" t="s">
        <v>32</v>
      </c>
    </row>
    <row r="562" spans="1:16" x14ac:dyDescent="0.3">
      <c r="A562" t="s">
        <v>592</v>
      </c>
      <c r="B562" t="s">
        <v>17</v>
      </c>
      <c r="C562" t="s">
        <v>27</v>
      </c>
      <c r="D562" t="s">
        <v>1032</v>
      </c>
      <c r="E562" t="s">
        <v>19</v>
      </c>
      <c r="F562" t="s">
        <v>27</v>
      </c>
      <c r="G562">
        <v>2813</v>
      </c>
      <c r="H562">
        <v>0</v>
      </c>
      <c r="I562">
        <v>365</v>
      </c>
      <c r="J562">
        <v>120</v>
      </c>
      <c r="K562">
        <v>1</v>
      </c>
      <c r="L562" t="s">
        <v>20</v>
      </c>
      <c r="M562" t="s">
        <v>53</v>
      </c>
      <c r="N562">
        <v>2813</v>
      </c>
      <c r="O562" t="s">
        <v>35</v>
      </c>
      <c r="P562" t="s">
        <v>23</v>
      </c>
    </row>
    <row r="563" spans="1:16" x14ac:dyDescent="0.3">
      <c r="A563" t="s">
        <v>593</v>
      </c>
      <c r="B563" t="s">
        <v>31</v>
      </c>
      <c r="C563" t="s">
        <v>27</v>
      </c>
      <c r="D563" t="s">
        <v>1034</v>
      </c>
      <c r="E563" t="s">
        <v>28</v>
      </c>
      <c r="F563" t="s">
        <v>18</v>
      </c>
      <c r="G563">
        <v>21427</v>
      </c>
      <c r="H563">
        <v>0</v>
      </c>
      <c r="I563">
        <v>647</v>
      </c>
      <c r="J563">
        <v>360</v>
      </c>
      <c r="K563">
        <v>1</v>
      </c>
      <c r="L563" t="s">
        <v>29</v>
      </c>
      <c r="M563" t="s">
        <v>21</v>
      </c>
      <c r="N563">
        <v>21427</v>
      </c>
      <c r="O563" t="s">
        <v>25</v>
      </c>
      <c r="P563" t="s">
        <v>23</v>
      </c>
    </row>
    <row r="564" spans="1:16" x14ac:dyDescent="0.3">
      <c r="A564" t="s">
        <v>594</v>
      </c>
      <c r="B564" t="s">
        <v>17</v>
      </c>
      <c r="C564" t="s">
        <v>18</v>
      </c>
      <c r="D564" t="s">
        <v>1034</v>
      </c>
      <c r="E564" t="s">
        <v>28</v>
      </c>
      <c r="F564" t="s">
        <v>18</v>
      </c>
      <c r="G564">
        <v>18270</v>
      </c>
      <c r="H564">
        <v>0</v>
      </c>
      <c r="I564">
        <v>552</v>
      </c>
      <c r="J564">
        <v>240</v>
      </c>
      <c r="K564">
        <v>1</v>
      </c>
      <c r="L564" t="s">
        <v>34</v>
      </c>
      <c r="M564" t="s">
        <v>21</v>
      </c>
      <c r="N564">
        <v>18270</v>
      </c>
      <c r="O564" t="s">
        <v>25</v>
      </c>
      <c r="P564" t="s">
        <v>23</v>
      </c>
    </row>
    <row r="565" spans="1:16" x14ac:dyDescent="0.3">
      <c r="A565" t="s">
        <v>595</v>
      </c>
      <c r="B565" t="s">
        <v>17</v>
      </c>
      <c r="C565" t="s">
        <v>27</v>
      </c>
      <c r="D565" t="s">
        <v>1035</v>
      </c>
      <c r="E565" t="s">
        <v>19</v>
      </c>
      <c r="F565" t="s">
        <v>27</v>
      </c>
      <c r="G565">
        <v>13612</v>
      </c>
      <c r="H565">
        <v>6826</v>
      </c>
      <c r="I565">
        <v>62</v>
      </c>
      <c r="J565">
        <v>240</v>
      </c>
      <c r="K565">
        <v>1</v>
      </c>
      <c r="L565" t="s">
        <v>29</v>
      </c>
      <c r="M565" t="s">
        <v>21</v>
      </c>
      <c r="N565">
        <v>20438</v>
      </c>
      <c r="O565" t="s">
        <v>25</v>
      </c>
      <c r="P565" t="s">
        <v>23</v>
      </c>
    </row>
    <row r="566" spans="1:16" x14ac:dyDescent="0.3">
      <c r="A566" t="s">
        <v>596</v>
      </c>
      <c r="B566" t="s">
        <v>31</v>
      </c>
      <c r="C566" t="s">
        <v>18</v>
      </c>
      <c r="D566" t="s">
        <v>1033</v>
      </c>
      <c r="E566" t="s">
        <v>28</v>
      </c>
      <c r="F566" t="s">
        <v>27</v>
      </c>
      <c r="G566">
        <v>15999</v>
      </c>
      <c r="H566">
        <v>0</v>
      </c>
      <c r="I566">
        <v>484</v>
      </c>
      <c r="J566">
        <v>300</v>
      </c>
      <c r="K566">
        <v>1</v>
      </c>
      <c r="L566" t="s">
        <v>34</v>
      </c>
      <c r="M566" t="s">
        <v>21</v>
      </c>
      <c r="N566">
        <v>15999</v>
      </c>
      <c r="O566" t="s">
        <v>25</v>
      </c>
      <c r="P566" t="s">
        <v>23</v>
      </c>
    </row>
    <row r="567" spans="1:16" x14ac:dyDescent="0.3">
      <c r="A567" t="s">
        <v>597</v>
      </c>
      <c r="B567" t="s">
        <v>17</v>
      </c>
      <c r="C567" t="s">
        <v>18</v>
      </c>
      <c r="D567" t="s">
        <v>1033</v>
      </c>
      <c r="E567" t="s">
        <v>28</v>
      </c>
      <c r="F567" t="s">
        <v>27</v>
      </c>
      <c r="G567">
        <v>18713</v>
      </c>
      <c r="H567">
        <v>0</v>
      </c>
      <c r="I567">
        <v>654</v>
      </c>
      <c r="J567">
        <v>300</v>
      </c>
      <c r="K567">
        <v>1</v>
      </c>
      <c r="L567" t="s">
        <v>29</v>
      </c>
      <c r="M567" t="s">
        <v>21</v>
      </c>
      <c r="N567">
        <v>18713</v>
      </c>
      <c r="O567" t="s">
        <v>25</v>
      </c>
      <c r="P567" t="s">
        <v>23</v>
      </c>
    </row>
    <row r="568" spans="1:16" x14ac:dyDescent="0.3">
      <c r="A568" t="s">
        <v>598</v>
      </c>
      <c r="B568" t="s">
        <v>31</v>
      </c>
      <c r="C568" t="s">
        <v>27</v>
      </c>
      <c r="D568" t="s">
        <v>1033</v>
      </c>
      <c r="E568" t="s">
        <v>28</v>
      </c>
      <c r="F568" t="s">
        <v>18</v>
      </c>
      <c r="G568">
        <v>8029</v>
      </c>
      <c r="H568">
        <v>3547</v>
      </c>
      <c r="I568">
        <v>346</v>
      </c>
      <c r="J568">
        <v>360</v>
      </c>
      <c r="K568">
        <v>1</v>
      </c>
      <c r="L568" t="s">
        <v>29</v>
      </c>
      <c r="M568" t="s">
        <v>21</v>
      </c>
      <c r="N568">
        <v>11576</v>
      </c>
      <c r="O568" t="s">
        <v>25</v>
      </c>
      <c r="P568" t="s">
        <v>23</v>
      </c>
    </row>
    <row r="569" spans="1:16" x14ac:dyDescent="0.3">
      <c r="A569" t="s">
        <v>599</v>
      </c>
      <c r="B569" t="s">
        <v>31</v>
      </c>
      <c r="C569" t="s">
        <v>27</v>
      </c>
      <c r="D569" t="s">
        <v>1035</v>
      </c>
      <c r="E569" t="s">
        <v>19</v>
      </c>
      <c r="F569" t="s">
        <v>18</v>
      </c>
      <c r="G569">
        <v>1580</v>
      </c>
      <c r="H569">
        <v>3023</v>
      </c>
      <c r="I569">
        <v>357</v>
      </c>
      <c r="J569">
        <v>300</v>
      </c>
      <c r="K569">
        <v>1</v>
      </c>
      <c r="L569" t="s">
        <v>34</v>
      </c>
      <c r="M569" t="s">
        <v>21</v>
      </c>
      <c r="N569">
        <v>4603</v>
      </c>
      <c r="O569" t="s">
        <v>35</v>
      </c>
      <c r="P569" t="s">
        <v>23</v>
      </c>
    </row>
    <row r="570" spans="1:16" x14ac:dyDescent="0.3">
      <c r="A570" t="s">
        <v>600</v>
      </c>
      <c r="B570" t="s">
        <v>31</v>
      </c>
      <c r="C570" t="s">
        <v>27</v>
      </c>
      <c r="D570" t="s">
        <v>1033</v>
      </c>
      <c r="E570" t="s">
        <v>28</v>
      </c>
      <c r="F570" t="s">
        <v>18</v>
      </c>
      <c r="G570">
        <v>2432</v>
      </c>
      <c r="H570">
        <v>2455</v>
      </c>
      <c r="I570">
        <v>554</v>
      </c>
      <c r="J570">
        <v>120</v>
      </c>
      <c r="K570">
        <v>1</v>
      </c>
      <c r="L570" t="s">
        <v>29</v>
      </c>
      <c r="M570" t="s">
        <v>53</v>
      </c>
      <c r="N570">
        <v>4887</v>
      </c>
      <c r="O570" t="s">
        <v>35</v>
      </c>
      <c r="P570" t="s">
        <v>23</v>
      </c>
    </row>
    <row r="571" spans="1:16" x14ac:dyDescent="0.3">
      <c r="A571" t="s">
        <v>601</v>
      </c>
      <c r="B571" t="s">
        <v>31</v>
      </c>
      <c r="C571" t="s">
        <v>27</v>
      </c>
      <c r="D571" t="s">
        <v>1032</v>
      </c>
      <c r="E571" t="s">
        <v>28</v>
      </c>
      <c r="F571" t="s">
        <v>18</v>
      </c>
      <c r="G571">
        <v>13729</v>
      </c>
      <c r="H571">
        <v>0</v>
      </c>
      <c r="I571">
        <v>315</v>
      </c>
      <c r="J571">
        <v>180</v>
      </c>
      <c r="K571">
        <v>1</v>
      </c>
      <c r="L571" t="s">
        <v>20</v>
      </c>
      <c r="M571" t="s">
        <v>21</v>
      </c>
      <c r="N571">
        <v>13729</v>
      </c>
      <c r="O571" t="s">
        <v>25</v>
      </c>
      <c r="P571" t="s">
        <v>23</v>
      </c>
    </row>
    <row r="572" spans="1:16" x14ac:dyDescent="0.3">
      <c r="A572" t="s">
        <v>602</v>
      </c>
      <c r="B572" t="s">
        <v>31</v>
      </c>
      <c r="C572" t="s">
        <v>27</v>
      </c>
      <c r="D572" t="s">
        <v>1033</v>
      </c>
      <c r="E572" t="s">
        <v>28</v>
      </c>
      <c r="F572" t="s">
        <v>18</v>
      </c>
      <c r="G572">
        <v>3233</v>
      </c>
      <c r="H572">
        <v>4967</v>
      </c>
      <c r="I572">
        <v>479</v>
      </c>
      <c r="J572">
        <v>240</v>
      </c>
      <c r="K572">
        <v>1</v>
      </c>
      <c r="L572" t="s">
        <v>29</v>
      </c>
      <c r="M572" t="s">
        <v>21</v>
      </c>
      <c r="N572">
        <v>8200</v>
      </c>
      <c r="O572" t="s">
        <v>22</v>
      </c>
      <c r="P572" t="s">
        <v>23</v>
      </c>
    </row>
    <row r="573" spans="1:16" x14ac:dyDescent="0.3">
      <c r="A573" t="s">
        <v>603</v>
      </c>
      <c r="B573" t="s">
        <v>17</v>
      </c>
      <c r="C573" t="s">
        <v>18</v>
      </c>
      <c r="D573" t="s">
        <v>1033</v>
      </c>
      <c r="E573" t="s">
        <v>19</v>
      </c>
      <c r="F573" t="s">
        <v>18</v>
      </c>
      <c r="G573">
        <v>19316</v>
      </c>
      <c r="H573">
        <v>5785</v>
      </c>
      <c r="I573">
        <v>358</v>
      </c>
      <c r="J573">
        <v>240</v>
      </c>
      <c r="K573">
        <v>1</v>
      </c>
      <c r="L573" t="s">
        <v>34</v>
      </c>
      <c r="M573" t="s">
        <v>21</v>
      </c>
      <c r="N573">
        <v>25101</v>
      </c>
      <c r="O573" t="s">
        <v>25</v>
      </c>
      <c r="P573" t="s">
        <v>23</v>
      </c>
    </row>
    <row r="574" spans="1:16" x14ac:dyDescent="0.3">
      <c r="A574" t="s">
        <v>604</v>
      </c>
      <c r="B574" t="s">
        <v>31</v>
      </c>
      <c r="C574" t="s">
        <v>18</v>
      </c>
      <c r="D574" t="s">
        <v>1032</v>
      </c>
      <c r="E574" t="s">
        <v>19</v>
      </c>
      <c r="F574" t="s">
        <v>18</v>
      </c>
      <c r="G574">
        <v>5987</v>
      </c>
      <c r="H574">
        <v>8989</v>
      </c>
      <c r="I574">
        <v>431</v>
      </c>
      <c r="J574">
        <v>300</v>
      </c>
      <c r="K574">
        <v>1</v>
      </c>
      <c r="L574" t="s">
        <v>20</v>
      </c>
      <c r="M574" t="s">
        <v>21</v>
      </c>
      <c r="N574">
        <v>14976</v>
      </c>
      <c r="O574" t="s">
        <v>25</v>
      </c>
      <c r="P574" t="s">
        <v>23</v>
      </c>
    </row>
    <row r="575" spans="1:16" x14ac:dyDescent="0.3">
      <c r="A575" t="s">
        <v>605</v>
      </c>
      <c r="B575" t="s">
        <v>17</v>
      </c>
      <c r="C575" t="s">
        <v>18</v>
      </c>
      <c r="D575" t="s">
        <v>1033</v>
      </c>
      <c r="E575" t="s">
        <v>19</v>
      </c>
      <c r="F575" t="s">
        <v>18</v>
      </c>
      <c r="G575">
        <v>19806</v>
      </c>
      <c r="H575">
        <v>0</v>
      </c>
      <c r="I575">
        <v>477</v>
      </c>
      <c r="J575">
        <v>300</v>
      </c>
      <c r="K575">
        <v>0</v>
      </c>
      <c r="L575" t="s">
        <v>20</v>
      </c>
      <c r="M575" t="s">
        <v>21</v>
      </c>
      <c r="N575">
        <v>19806</v>
      </c>
      <c r="O575" t="s">
        <v>25</v>
      </c>
      <c r="P575" t="s">
        <v>32</v>
      </c>
    </row>
    <row r="576" spans="1:16" x14ac:dyDescent="0.3">
      <c r="A576" t="s">
        <v>606</v>
      </c>
      <c r="B576" t="s">
        <v>17</v>
      </c>
      <c r="C576" t="s">
        <v>18</v>
      </c>
      <c r="D576" t="s">
        <v>1035</v>
      </c>
      <c r="E576" t="s">
        <v>28</v>
      </c>
      <c r="F576" t="s">
        <v>27</v>
      </c>
      <c r="G576">
        <v>24144</v>
      </c>
      <c r="H576">
        <v>0</v>
      </c>
      <c r="I576">
        <v>502</v>
      </c>
      <c r="J576">
        <v>360</v>
      </c>
      <c r="K576">
        <v>1</v>
      </c>
      <c r="L576" t="s">
        <v>29</v>
      </c>
      <c r="M576" t="s">
        <v>21</v>
      </c>
      <c r="N576">
        <v>24144</v>
      </c>
      <c r="O576" t="s">
        <v>25</v>
      </c>
      <c r="P576" t="s">
        <v>23</v>
      </c>
    </row>
    <row r="577" spans="1:16" x14ac:dyDescent="0.3">
      <c r="A577" t="s">
        <v>607</v>
      </c>
      <c r="B577" t="s">
        <v>17</v>
      </c>
      <c r="C577" t="s">
        <v>27</v>
      </c>
      <c r="D577" t="s">
        <v>1034</v>
      </c>
      <c r="E577" t="s">
        <v>19</v>
      </c>
      <c r="F577" t="s">
        <v>18</v>
      </c>
      <c r="G577">
        <v>5717</v>
      </c>
      <c r="H577">
        <v>0</v>
      </c>
      <c r="I577">
        <v>282</v>
      </c>
      <c r="J577">
        <v>240</v>
      </c>
      <c r="K577">
        <v>1</v>
      </c>
      <c r="L577" t="s">
        <v>20</v>
      </c>
      <c r="M577" t="s">
        <v>21</v>
      </c>
      <c r="N577">
        <v>5717</v>
      </c>
      <c r="O577" t="s">
        <v>22</v>
      </c>
      <c r="P577" t="s">
        <v>23</v>
      </c>
    </row>
    <row r="578" spans="1:16" x14ac:dyDescent="0.3">
      <c r="A578" t="s">
        <v>608</v>
      </c>
      <c r="B578" t="s">
        <v>17</v>
      </c>
      <c r="C578" t="s">
        <v>27</v>
      </c>
      <c r="D578" t="s">
        <v>1034</v>
      </c>
      <c r="E578" t="s">
        <v>19</v>
      </c>
      <c r="F578" t="s">
        <v>18</v>
      </c>
      <c r="G578">
        <v>17368</v>
      </c>
      <c r="H578">
        <v>12908</v>
      </c>
      <c r="I578">
        <v>93</v>
      </c>
      <c r="J578">
        <v>180</v>
      </c>
      <c r="K578">
        <v>1</v>
      </c>
      <c r="L578" t="s">
        <v>34</v>
      </c>
      <c r="M578" t="s">
        <v>21</v>
      </c>
      <c r="N578">
        <v>30276</v>
      </c>
      <c r="O578" t="s">
        <v>25</v>
      </c>
      <c r="P578" t="s">
        <v>23</v>
      </c>
    </row>
    <row r="579" spans="1:16" x14ac:dyDescent="0.3">
      <c r="A579" t="s">
        <v>609</v>
      </c>
      <c r="B579" t="s">
        <v>17</v>
      </c>
      <c r="C579" t="s">
        <v>27</v>
      </c>
      <c r="D579" t="s">
        <v>1034</v>
      </c>
      <c r="E579" t="s">
        <v>28</v>
      </c>
      <c r="F579" t="s">
        <v>18</v>
      </c>
      <c r="G579">
        <v>3670</v>
      </c>
      <c r="H579">
        <v>0</v>
      </c>
      <c r="I579">
        <v>148</v>
      </c>
      <c r="J579">
        <v>120</v>
      </c>
      <c r="K579">
        <v>0</v>
      </c>
      <c r="L579" t="s">
        <v>20</v>
      </c>
      <c r="M579" t="s">
        <v>53</v>
      </c>
      <c r="N579">
        <v>3670</v>
      </c>
      <c r="O579" t="s">
        <v>35</v>
      </c>
      <c r="P579" t="s">
        <v>32</v>
      </c>
    </row>
    <row r="580" spans="1:16" x14ac:dyDescent="0.3">
      <c r="A580" t="s">
        <v>610</v>
      </c>
      <c r="B580" t="s">
        <v>17</v>
      </c>
      <c r="C580" t="s">
        <v>18</v>
      </c>
      <c r="D580" t="s">
        <v>1032</v>
      </c>
      <c r="E580" t="s">
        <v>19</v>
      </c>
      <c r="F580" t="s">
        <v>18</v>
      </c>
      <c r="G580">
        <v>6269</v>
      </c>
      <c r="H580">
        <v>14358</v>
      </c>
      <c r="I580">
        <v>643</v>
      </c>
      <c r="J580">
        <v>240</v>
      </c>
      <c r="K580">
        <v>1</v>
      </c>
      <c r="L580" t="s">
        <v>34</v>
      </c>
      <c r="M580" t="s">
        <v>21</v>
      </c>
      <c r="N580">
        <v>20627</v>
      </c>
      <c r="O580" t="s">
        <v>25</v>
      </c>
      <c r="P580" t="s">
        <v>23</v>
      </c>
    </row>
    <row r="581" spans="1:16" x14ac:dyDescent="0.3">
      <c r="A581" t="s">
        <v>611</v>
      </c>
      <c r="B581" t="s">
        <v>17</v>
      </c>
      <c r="C581" t="s">
        <v>18</v>
      </c>
      <c r="D581" t="s">
        <v>1034</v>
      </c>
      <c r="E581" t="s">
        <v>19</v>
      </c>
      <c r="F581" t="s">
        <v>18</v>
      </c>
      <c r="G581">
        <v>24955</v>
      </c>
      <c r="H581">
        <v>3638</v>
      </c>
      <c r="I581">
        <v>225</v>
      </c>
      <c r="J581">
        <v>360</v>
      </c>
      <c r="K581">
        <v>1</v>
      </c>
      <c r="L581" t="s">
        <v>34</v>
      </c>
      <c r="M581" t="s">
        <v>21</v>
      </c>
      <c r="N581">
        <v>28593</v>
      </c>
      <c r="O581" t="s">
        <v>25</v>
      </c>
      <c r="P581" t="s">
        <v>23</v>
      </c>
    </row>
    <row r="582" spans="1:16" x14ac:dyDescent="0.3">
      <c r="A582" t="s">
        <v>612</v>
      </c>
      <c r="B582" t="s">
        <v>17</v>
      </c>
      <c r="C582" t="s">
        <v>18</v>
      </c>
      <c r="D582" t="s">
        <v>1035</v>
      </c>
      <c r="E582" t="s">
        <v>28</v>
      </c>
      <c r="F582" t="s">
        <v>18</v>
      </c>
      <c r="G582">
        <v>15906</v>
      </c>
      <c r="H582">
        <v>0</v>
      </c>
      <c r="I582">
        <v>235</v>
      </c>
      <c r="J582">
        <v>240</v>
      </c>
      <c r="K582">
        <v>0</v>
      </c>
      <c r="L582" t="s">
        <v>29</v>
      </c>
      <c r="M582" t="s">
        <v>21</v>
      </c>
      <c r="N582">
        <v>15906</v>
      </c>
      <c r="O582" t="s">
        <v>25</v>
      </c>
      <c r="P582" t="s">
        <v>32</v>
      </c>
    </row>
    <row r="583" spans="1:16" x14ac:dyDescent="0.3">
      <c r="A583" t="s">
        <v>613</v>
      </c>
      <c r="B583" t="s">
        <v>17</v>
      </c>
      <c r="C583" t="s">
        <v>18</v>
      </c>
      <c r="D583" t="s">
        <v>1035</v>
      </c>
      <c r="E583" t="s">
        <v>19</v>
      </c>
      <c r="F583" t="s">
        <v>27</v>
      </c>
      <c r="G583">
        <v>5550</v>
      </c>
      <c r="H583">
        <v>0</v>
      </c>
      <c r="I583">
        <v>582</v>
      </c>
      <c r="J583">
        <v>180</v>
      </c>
      <c r="K583">
        <v>1</v>
      </c>
      <c r="L583" t="s">
        <v>29</v>
      </c>
      <c r="M583" t="s">
        <v>21</v>
      </c>
      <c r="N583">
        <v>5550</v>
      </c>
      <c r="O583" t="s">
        <v>22</v>
      </c>
      <c r="P583" t="s">
        <v>23</v>
      </c>
    </row>
    <row r="584" spans="1:16" x14ac:dyDescent="0.3">
      <c r="A584" t="s">
        <v>614</v>
      </c>
      <c r="B584" t="s">
        <v>31</v>
      </c>
      <c r="C584" t="s">
        <v>18</v>
      </c>
      <c r="D584" t="s">
        <v>1034</v>
      </c>
      <c r="E584" t="s">
        <v>28</v>
      </c>
      <c r="F584" t="s">
        <v>27</v>
      </c>
      <c r="G584">
        <v>5291</v>
      </c>
      <c r="H584">
        <v>6804</v>
      </c>
      <c r="I584">
        <v>517</v>
      </c>
      <c r="J584">
        <v>360</v>
      </c>
      <c r="K584">
        <v>1</v>
      </c>
      <c r="L584" t="s">
        <v>34</v>
      </c>
      <c r="M584" t="s">
        <v>21</v>
      </c>
      <c r="N584">
        <v>12095</v>
      </c>
      <c r="O584" t="s">
        <v>25</v>
      </c>
      <c r="P584" t="s">
        <v>23</v>
      </c>
    </row>
    <row r="585" spans="1:16" x14ac:dyDescent="0.3">
      <c r="A585" t="s">
        <v>615</v>
      </c>
      <c r="B585" t="s">
        <v>31</v>
      </c>
      <c r="C585" t="s">
        <v>18</v>
      </c>
      <c r="D585" t="s">
        <v>1035</v>
      </c>
      <c r="E585" t="s">
        <v>28</v>
      </c>
      <c r="F585" t="s">
        <v>27</v>
      </c>
      <c r="G585">
        <v>7686</v>
      </c>
      <c r="H585">
        <v>0</v>
      </c>
      <c r="I585">
        <v>537</v>
      </c>
      <c r="J585">
        <v>240</v>
      </c>
      <c r="K585">
        <v>1</v>
      </c>
      <c r="L585" t="s">
        <v>34</v>
      </c>
      <c r="M585" t="s">
        <v>21</v>
      </c>
      <c r="N585">
        <v>7686</v>
      </c>
      <c r="O585" t="s">
        <v>22</v>
      </c>
      <c r="P585" t="s">
        <v>23</v>
      </c>
    </row>
    <row r="586" spans="1:16" x14ac:dyDescent="0.3">
      <c r="A586" t="s">
        <v>616</v>
      </c>
      <c r="B586" t="s">
        <v>31</v>
      </c>
      <c r="C586" t="s">
        <v>18</v>
      </c>
      <c r="D586" t="s">
        <v>1035</v>
      </c>
      <c r="E586" t="s">
        <v>28</v>
      </c>
      <c r="F586" t="s">
        <v>18</v>
      </c>
      <c r="G586">
        <v>5406</v>
      </c>
      <c r="H586">
        <v>2848</v>
      </c>
      <c r="I586">
        <v>460</v>
      </c>
      <c r="J586">
        <v>360</v>
      </c>
      <c r="K586">
        <v>0</v>
      </c>
      <c r="L586" t="s">
        <v>34</v>
      </c>
      <c r="M586" t="s">
        <v>53</v>
      </c>
      <c r="N586">
        <v>8254</v>
      </c>
      <c r="O586" t="s">
        <v>22</v>
      </c>
      <c r="P586" t="s">
        <v>32</v>
      </c>
    </row>
    <row r="587" spans="1:16" x14ac:dyDescent="0.3">
      <c r="A587" t="s">
        <v>617</v>
      </c>
      <c r="B587" t="s">
        <v>17</v>
      </c>
      <c r="C587" t="s">
        <v>18</v>
      </c>
      <c r="D587" t="s">
        <v>1032</v>
      </c>
      <c r="E587" t="s">
        <v>19</v>
      </c>
      <c r="F587" t="s">
        <v>27</v>
      </c>
      <c r="G587">
        <v>8062</v>
      </c>
      <c r="H587">
        <v>10247</v>
      </c>
      <c r="I587">
        <v>175</v>
      </c>
      <c r="J587">
        <v>180</v>
      </c>
      <c r="K587">
        <v>0</v>
      </c>
      <c r="L587" t="s">
        <v>34</v>
      </c>
      <c r="M587" t="s">
        <v>21</v>
      </c>
      <c r="N587">
        <v>18309</v>
      </c>
      <c r="O587" t="s">
        <v>25</v>
      </c>
      <c r="P587" t="s">
        <v>32</v>
      </c>
    </row>
    <row r="588" spans="1:16" x14ac:dyDescent="0.3">
      <c r="A588" t="s">
        <v>618</v>
      </c>
      <c r="B588" t="s">
        <v>31</v>
      </c>
      <c r="C588" t="s">
        <v>27</v>
      </c>
      <c r="D588" t="s">
        <v>1032</v>
      </c>
      <c r="E588" t="s">
        <v>28</v>
      </c>
      <c r="F588" t="s">
        <v>27</v>
      </c>
      <c r="G588">
        <v>17091</v>
      </c>
      <c r="H588">
        <v>11422</v>
      </c>
      <c r="I588">
        <v>546</v>
      </c>
      <c r="J588">
        <v>360</v>
      </c>
      <c r="K588">
        <v>1</v>
      </c>
      <c r="L588" t="s">
        <v>29</v>
      </c>
      <c r="M588" t="s">
        <v>21</v>
      </c>
      <c r="N588">
        <v>28513</v>
      </c>
      <c r="O588" t="s">
        <v>25</v>
      </c>
      <c r="P588" t="s">
        <v>23</v>
      </c>
    </row>
    <row r="589" spans="1:16" x14ac:dyDescent="0.3">
      <c r="A589" t="s">
        <v>619</v>
      </c>
      <c r="B589" t="s">
        <v>17</v>
      </c>
      <c r="C589" t="s">
        <v>18</v>
      </c>
      <c r="D589" t="s">
        <v>1032</v>
      </c>
      <c r="E589" t="s">
        <v>28</v>
      </c>
      <c r="F589" t="s">
        <v>27</v>
      </c>
      <c r="G589">
        <v>9063</v>
      </c>
      <c r="H589">
        <v>0</v>
      </c>
      <c r="I589">
        <v>80</v>
      </c>
      <c r="J589">
        <v>120</v>
      </c>
      <c r="K589">
        <v>1</v>
      </c>
      <c r="L589" t="s">
        <v>20</v>
      </c>
      <c r="M589" t="s">
        <v>21</v>
      </c>
      <c r="N589">
        <v>9063</v>
      </c>
      <c r="O589" t="s">
        <v>22</v>
      </c>
      <c r="P589" t="s">
        <v>23</v>
      </c>
    </row>
    <row r="590" spans="1:16" x14ac:dyDescent="0.3">
      <c r="A590" t="s">
        <v>620</v>
      </c>
      <c r="B590" t="s">
        <v>31</v>
      </c>
      <c r="C590" t="s">
        <v>18</v>
      </c>
      <c r="D590" t="s">
        <v>1033</v>
      </c>
      <c r="E590" t="s">
        <v>28</v>
      </c>
      <c r="F590" t="s">
        <v>27</v>
      </c>
      <c r="G590">
        <v>6504</v>
      </c>
      <c r="H590">
        <v>0</v>
      </c>
      <c r="I590">
        <v>128</v>
      </c>
      <c r="J590">
        <v>360</v>
      </c>
      <c r="K590">
        <v>1</v>
      </c>
      <c r="L590" t="s">
        <v>29</v>
      </c>
      <c r="M590" t="s">
        <v>21</v>
      </c>
      <c r="N590">
        <v>6504</v>
      </c>
      <c r="O590" t="s">
        <v>22</v>
      </c>
      <c r="P590" t="s">
        <v>23</v>
      </c>
    </row>
    <row r="591" spans="1:16" x14ac:dyDescent="0.3">
      <c r="A591" t="s">
        <v>621</v>
      </c>
      <c r="B591" t="s">
        <v>17</v>
      </c>
      <c r="C591" t="s">
        <v>27</v>
      </c>
      <c r="D591" t="s">
        <v>1035</v>
      </c>
      <c r="E591" t="s">
        <v>28</v>
      </c>
      <c r="F591" t="s">
        <v>27</v>
      </c>
      <c r="G591">
        <v>19274</v>
      </c>
      <c r="H591">
        <v>0</v>
      </c>
      <c r="I591">
        <v>82</v>
      </c>
      <c r="J591">
        <v>300</v>
      </c>
      <c r="K591">
        <v>0</v>
      </c>
      <c r="L591" t="s">
        <v>20</v>
      </c>
      <c r="M591" t="s">
        <v>21</v>
      </c>
      <c r="N591">
        <v>19274</v>
      </c>
      <c r="O591" t="s">
        <v>25</v>
      </c>
      <c r="P591" t="s">
        <v>32</v>
      </c>
    </row>
    <row r="592" spans="1:16" x14ac:dyDescent="0.3">
      <c r="A592" t="s">
        <v>622</v>
      </c>
      <c r="B592" t="s">
        <v>31</v>
      </c>
      <c r="C592" t="s">
        <v>27</v>
      </c>
      <c r="D592" t="s">
        <v>1032</v>
      </c>
      <c r="E592" t="s">
        <v>28</v>
      </c>
      <c r="F592" t="s">
        <v>27</v>
      </c>
      <c r="G592">
        <v>16562</v>
      </c>
      <c r="H592">
        <v>0</v>
      </c>
      <c r="I592">
        <v>231</v>
      </c>
      <c r="J592">
        <v>360</v>
      </c>
      <c r="K592">
        <v>1</v>
      </c>
      <c r="L592" t="s">
        <v>29</v>
      </c>
      <c r="M592" t="s">
        <v>21</v>
      </c>
      <c r="N592">
        <v>16562</v>
      </c>
      <c r="O592" t="s">
        <v>25</v>
      </c>
      <c r="P592" t="s">
        <v>23</v>
      </c>
    </row>
    <row r="593" spans="1:16" x14ac:dyDescent="0.3">
      <c r="A593" t="s">
        <v>623</v>
      </c>
      <c r="B593" t="s">
        <v>17</v>
      </c>
      <c r="C593" t="s">
        <v>27</v>
      </c>
      <c r="D593" t="s">
        <v>1035</v>
      </c>
      <c r="E593" t="s">
        <v>19</v>
      </c>
      <c r="F593" t="s">
        <v>27</v>
      </c>
      <c r="G593">
        <v>24952</v>
      </c>
      <c r="H593">
        <v>6874</v>
      </c>
      <c r="I593">
        <v>162</v>
      </c>
      <c r="J593">
        <v>360</v>
      </c>
      <c r="K593">
        <v>1</v>
      </c>
      <c r="L593" t="s">
        <v>34</v>
      </c>
      <c r="M593" t="s">
        <v>21</v>
      </c>
      <c r="N593">
        <v>31826</v>
      </c>
      <c r="O593" t="s">
        <v>25</v>
      </c>
      <c r="P593" t="s">
        <v>23</v>
      </c>
    </row>
    <row r="594" spans="1:16" x14ac:dyDescent="0.3">
      <c r="A594" t="s">
        <v>624</v>
      </c>
      <c r="B594" t="s">
        <v>31</v>
      </c>
      <c r="C594" t="s">
        <v>27</v>
      </c>
      <c r="D594" t="s">
        <v>1033</v>
      </c>
      <c r="E594" t="s">
        <v>19</v>
      </c>
      <c r="F594" t="s">
        <v>27</v>
      </c>
      <c r="G594">
        <v>10130</v>
      </c>
      <c r="H594">
        <v>8605</v>
      </c>
      <c r="I594">
        <v>681</v>
      </c>
      <c r="J594">
        <v>240</v>
      </c>
      <c r="K594">
        <v>1</v>
      </c>
      <c r="L594" t="s">
        <v>29</v>
      </c>
      <c r="M594" t="s">
        <v>21</v>
      </c>
      <c r="N594">
        <v>18735</v>
      </c>
      <c r="O594" t="s">
        <v>25</v>
      </c>
      <c r="P594" t="s">
        <v>23</v>
      </c>
    </row>
    <row r="595" spans="1:16" x14ac:dyDescent="0.3">
      <c r="A595" t="s">
        <v>625</v>
      </c>
      <c r="B595" t="s">
        <v>31</v>
      </c>
      <c r="C595" t="s">
        <v>18</v>
      </c>
      <c r="D595" t="s">
        <v>1034</v>
      </c>
      <c r="E595" t="s">
        <v>19</v>
      </c>
      <c r="F595" t="s">
        <v>18</v>
      </c>
      <c r="G595">
        <v>13506</v>
      </c>
      <c r="H595">
        <v>0</v>
      </c>
      <c r="I595">
        <v>690</v>
      </c>
      <c r="J595">
        <v>240</v>
      </c>
      <c r="K595">
        <v>1</v>
      </c>
      <c r="L595" t="s">
        <v>29</v>
      </c>
      <c r="M595" t="s">
        <v>21</v>
      </c>
      <c r="N595">
        <v>13506</v>
      </c>
      <c r="O595" t="s">
        <v>25</v>
      </c>
      <c r="P595" t="s">
        <v>23</v>
      </c>
    </row>
    <row r="596" spans="1:16" x14ac:dyDescent="0.3">
      <c r="A596" t="s">
        <v>626</v>
      </c>
      <c r="B596" t="s">
        <v>31</v>
      </c>
      <c r="C596" t="s">
        <v>27</v>
      </c>
      <c r="D596" t="s">
        <v>1035</v>
      </c>
      <c r="E596" t="s">
        <v>28</v>
      </c>
      <c r="F596" t="s">
        <v>18</v>
      </c>
      <c r="G596">
        <v>23167</v>
      </c>
      <c r="H596">
        <v>0</v>
      </c>
      <c r="I596">
        <v>290</v>
      </c>
      <c r="J596">
        <v>240</v>
      </c>
      <c r="K596">
        <v>1</v>
      </c>
      <c r="L596" t="s">
        <v>34</v>
      </c>
      <c r="M596" t="s">
        <v>21</v>
      </c>
      <c r="N596">
        <v>23167</v>
      </c>
      <c r="O596" t="s">
        <v>25</v>
      </c>
      <c r="P596" t="s">
        <v>23</v>
      </c>
    </row>
    <row r="597" spans="1:16" x14ac:dyDescent="0.3">
      <c r="A597" t="s">
        <v>627</v>
      </c>
      <c r="B597" t="s">
        <v>17</v>
      </c>
      <c r="C597" t="s">
        <v>27</v>
      </c>
      <c r="D597" t="s">
        <v>1034</v>
      </c>
      <c r="E597" t="s">
        <v>28</v>
      </c>
      <c r="F597" t="s">
        <v>18</v>
      </c>
      <c r="G597">
        <v>2145</v>
      </c>
      <c r="H597">
        <v>9321</v>
      </c>
      <c r="I597">
        <v>88</v>
      </c>
      <c r="J597">
        <v>300</v>
      </c>
      <c r="K597">
        <v>1</v>
      </c>
      <c r="L597" t="s">
        <v>29</v>
      </c>
      <c r="M597" t="s">
        <v>21</v>
      </c>
      <c r="N597">
        <v>11466</v>
      </c>
      <c r="O597" t="s">
        <v>25</v>
      </c>
      <c r="P597" t="s">
        <v>23</v>
      </c>
    </row>
    <row r="598" spans="1:16" x14ac:dyDescent="0.3">
      <c r="A598" t="s">
        <v>628</v>
      </c>
      <c r="B598" t="s">
        <v>31</v>
      </c>
      <c r="C598" t="s">
        <v>27</v>
      </c>
      <c r="D598" t="s">
        <v>1034</v>
      </c>
      <c r="E598" t="s">
        <v>28</v>
      </c>
      <c r="F598" t="s">
        <v>18</v>
      </c>
      <c r="G598">
        <v>11871</v>
      </c>
      <c r="H598">
        <v>6688</v>
      </c>
      <c r="I598">
        <v>380</v>
      </c>
      <c r="J598">
        <v>360</v>
      </c>
      <c r="K598">
        <v>1</v>
      </c>
      <c r="L598" t="s">
        <v>29</v>
      </c>
      <c r="M598" t="s">
        <v>21</v>
      </c>
      <c r="N598">
        <v>18559</v>
      </c>
      <c r="O598" t="s">
        <v>25</v>
      </c>
      <c r="P598" t="s">
        <v>23</v>
      </c>
    </row>
    <row r="599" spans="1:16" x14ac:dyDescent="0.3">
      <c r="A599" t="s">
        <v>629</v>
      </c>
      <c r="B599" t="s">
        <v>17</v>
      </c>
      <c r="C599" t="s">
        <v>18</v>
      </c>
      <c r="D599" t="s">
        <v>1032</v>
      </c>
      <c r="E599" t="s">
        <v>28</v>
      </c>
      <c r="F599" t="s">
        <v>27</v>
      </c>
      <c r="G599">
        <v>6960</v>
      </c>
      <c r="H599">
        <v>10573</v>
      </c>
      <c r="I599">
        <v>422</v>
      </c>
      <c r="J599">
        <v>300</v>
      </c>
      <c r="K599">
        <v>1</v>
      </c>
      <c r="L599" t="s">
        <v>34</v>
      </c>
      <c r="M599" t="s">
        <v>21</v>
      </c>
      <c r="N599">
        <v>17533</v>
      </c>
      <c r="O599" t="s">
        <v>25</v>
      </c>
      <c r="P599" t="s">
        <v>23</v>
      </c>
    </row>
    <row r="600" spans="1:16" x14ac:dyDescent="0.3">
      <c r="A600" t="s">
        <v>630</v>
      </c>
      <c r="B600" t="s">
        <v>17</v>
      </c>
      <c r="C600" t="s">
        <v>18</v>
      </c>
      <c r="D600" t="s">
        <v>1032</v>
      </c>
      <c r="E600" t="s">
        <v>28</v>
      </c>
      <c r="F600" t="s">
        <v>18</v>
      </c>
      <c r="G600">
        <v>11242</v>
      </c>
      <c r="H600">
        <v>9896</v>
      </c>
      <c r="I600">
        <v>281</v>
      </c>
      <c r="J600">
        <v>360</v>
      </c>
      <c r="K600">
        <v>1</v>
      </c>
      <c r="L600" t="s">
        <v>20</v>
      </c>
      <c r="M600" t="s">
        <v>21</v>
      </c>
      <c r="N600">
        <v>21138</v>
      </c>
      <c r="O600" t="s">
        <v>25</v>
      </c>
      <c r="P600" t="s">
        <v>23</v>
      </c>
    </row>
    <row r="601" spans="1:16" x14ac:dyDescent="0.3">
      <c r="A601" t="s">
        <v>631</v>
      </c>
      <c r="B601" t="s">
        <v>17</v>
      </c>
      <c r="C601" t="s">
        <v>27</v>
      </c>
      <c r="D601" t="s">
        <v>1032</v>
      </c>
      <c r="E601" t="s">
        <v>19</v>
      </c>
      <c r="F601" t="s">
        <v>27</v>
      </c>
      <c r="G601">
        <v>15495</v>
      </c>
      <c r="H601">
        <v>3936</v>
      </c>
      <c r="I601">
        <v>128</v>
      </c>
      <c r="J601">
        <v>240</v>
      </c>
      <c r="K601">
        <v>1</v>
      </c>
      <c r="L601" t="s">
        <v>29</v>
      </c>
      <c r="M601" t="s">
        <v>21</v>
      </c>
      <c r="N601">
        <v>19431</v>
      </c>
      <c r="O601" t="s">
        <v>25</v>
      </c>
      <c r="P601" t="s">
        <v>23</v>
      </c>
    </row>
    <row r="602" spans="1:16" x14ac:dyDescent="0.3">
      <c r="A602" t="s">
        <v>632</v>
      </c>
      <c r="B602" t="s">
        <v>31</v>
      </c>
      <c r="C602" t="s">
        <v>27</v>
      </c>
      <c r="D602" t="s">
        <v>1033</v>
      </c>
      <c r="E602" t="s">
        <v>28</v>
      </c>
      <c r="F602" t="s">
        <v>27</v>
      </c>
      <c r="G602">
        <v>9733</v>
      </c>
      <c r="H602">
        <v>10739</v>
      </c>
      <c r="I602">
        <v>610</v>
      </c>
      <c r="J602">
        <v>180</v>
      </c>
      <c r="K602">
        <v>0</v>
      </c>
      <c r="L602" t="s">
        <v>34</v>
      </c>
      <c r="M602" t="s">
        <v>21</v>
      </c>
      <c r="N602">
        <v>20472</v>
      </c>
      <c r="O602" t="s">
        <v>25</v>
      </c>
      <c r="P602" t="s">
        <v>32</v>
      </c>
    </row>
    <row r="603" spans="1:16" x14ac:dyDescent="0.3">
      <c r="A603" t="s">
        <v>633</v>
      </c>
      <c r="B603" t="s">
        <v>17</v>
      </c>
      <c r="C603" t="s">
        <v>27</v>
      </c>
      <c r="D603" t="s">
        <v>1033</v>
      </c>
      <c r="E603" t="s">
        <v>28</v>
      </c>
      <c r="F603" t="s">
        <v>27</v>
      </c>
      <c r="G603">
        <v>22403</v>
      </c>
      <c r="H603">
        <v>9228</v>
      </c>
      <c r="I603">
        <v>629</v>
      </c>
      <c r="J603">
        <v>120</v>
      </c>
      <c r="K603">
        <v>1</v>
      </c>
      <c r="L603" t="s">
        <v>29</v>
      </c>
      <c r="M603" t="s">
        <v>21</v>
      </c>
      <c r="N603">
        <v>31631</v>
      </c>
      <c r="O603" t="s">
        <v>25</v>
      </c>
      <c r="P603" t="s">
        <v>23</v>
      </c>
    </row>
    <row r="604" spans="1:16" x14ac:dyDescent="0.3">
      <c r="A604" t="s">
        <v>634</v>
      </c>
      <c r="B604" t="s">
        <v>31</v>
      </c>
      <c r="C604" t="s">
        <v>18</v>
      </c>
      <c r="D604" t="s">
        <v>1033</v>
      </c>
      <c r="E604" t="s">
        <v>19</v>
      </c>
      <c r="F604" t="s">
        <v>27</v>
      </c>
      <c r="G604">
        <v>15766</v>
      </c>
      <c r="H604">
        <v>7221</v>
      </c>
      <c r="I604">
        <v>115</v>
      </c>
      <c r="J604">
        <v>180</v>
      </c>
      <c r="K604">
        <v>0</v>
      </c>
      <c r="L604" t="s">
        <v>29</v>
      </c>
      <c r="M604" t="s">
        <v>21</v>
      </c>
      <c r="N604">
        <v>22987</v>
      </c>
      <c r="O604" t="s">
        <v>25</v>
      </c>
      <c r="P604" t="s">
        <v>32</v>
      </c>
    </row>
    <row r="605" spans="1:16" x14ac:dyDescent="0.3">
      <c r="A605" t="s">
        <v>635</v>
      </c>
      <c r="B605" t="s">
        <v>31</v>
      </c>
      <c r="C605" t="s">
        <v>18</v>
      </c>
      <c r="D605" t="s">
        <v>1032</v>
      </c>
      <c r="E605" t="s">
        <v>19</v>
      </c>
      <c r="F605" t="s">
        <v>27</v>
      </c>
      <c r="G605">
        <v>9314</v>
      </c>
      <c r="H605">
        <v>0</v>
      </c>
      <c r="I605">
        <v>246</v>
      </c>
      <c r="J605">
        <v>120</v>
      </c>
      <c r="K605">
        <v>1</v>
      </c>
      <c r="L605" t="s">
        <v>29</v>
      </c>
      <c r="M605" t="s">
        <v>21</v>
      </c>
      <c r="N605">
        <v>9314</v>
      </c>
      <c r="O605" t="s">
        <v>22</v>
      </c>
      <c r="P605" t="s">
        <v>23</v>
      </c>
    </row>
    <row r="606" spans="1:16" x14ac:dyDescent="0.3">
      <c r="A606" t="s">
        <v>636</v>
      </c>
      <c r="B606" t="s">
        <v>31</v>
      </c>
      <c r="C606" t="s">
        <v>27</v>
      </c>
      <c r="D606" t="s">
        <v>1035</v>
      </c>
      <c r="E606" t="s">
        <v>28</v>
      </c>
      <c r="F606" t="s">
        <v>18</v>
      </c>
      <c r="G606">
        <v>8118</v>
      </c>
      <c r="H606">
        <v>3110</v>
      </c>
      <c r="I606">
        <v>189</v>
      </c>
      <c r="J606">
        <v>120</v>
      </c>
      <c r="K606">
        <v>1</v>
      </c>
      <c r="L606" t="s">
        <v>29</v>
      </c>
      <c r="M606" t="s">
        <v>21</v>
      </c>
      <c r="N606">
        <v>11228</v>
      </c>
      <c r="O606" t="s">
        <v>25</v>
      </c>
      <c r="P606" t="s">
        <v>23</v>
      </c>
    </row>
    <row r="607" spans="1:16" x14ac:dyDescent="0.3">
      <c r="A607" t="s">
        <v>637</v>
      </c>
      <c r="B607" t="s">
        <v>17</v>
      </c>
      <c r="C607" t="s">
        <v>18</v>
      </c>
      <c r="D607" t="s">
        <v>1035</v>
      </c>
      <c r="E607" t="s">
        <v>19</v>
      </c>
      <c r="F607" t="s">
        <v>18</v>
      </c>
      <c r="G607">
        <v>4250</v>
      </c>
      <c r="H607">
        <v>5643</v>
      </c>
      <c r="I607">
        <v>115</v>
      </c>
      <c r="J607">
        <v>300</v>
      </c>
      <c r="K607">
        <v>0</v>
      </c>
      <c r="L607" t="s">
        <v>34</v>
      </c>
      <c r="M607" t="s">
        <v>21</v>
      </c>
      <c r="N607">
        <v>9893</v>
      </c>
      <c r="O607" t="s">
        <v>22</v>
      </c>
      <c r="P607" t="s">
        <v>32</v>
      </c>
    </row>
    <row r="608" spans="1:16" x14ac:dyDescent="0.3">
      <c r="A608" t="s">
        <v>638</v>
      </c>
      <c r="B608" t="s">
        <v>17</v>
      </c>
      <c r="C608" t="s">
        <v>27</v>
      </c>
      <c r="D608" t="s">
        <v>1033</v>
      </c>
      <c r="E608" t="s">
        <v>19</v>
      </c>
      <c r="F608" t="s">
        <v>18</v>
      </c>
      <c r="G608">
        <v>20209</v>
      </c>
      <c r="H608">
        <v>0</v>
      </c>
      <c r="I608">
        <v>584</v>
      </c>
      <c r="J608">
        <v>360</v>
      </c>
      <c r="K608">
        <v>0</v>
      </c>
      <c r="L608" t="s">
        <v>34</v>
      </c>
      <c r="M608" t="s">
        <v>21</v>
      </c>
      <c r="N608">
        <v>20209</v>
      </c>
      <c r="O608" t="s">
        <v>25</v>
      </c>
      <c r="P608" t="s">
        <v>32</v>
      </c>
    </row>
    <row r="609" spans="1:16" x14ac:dyDescent="0.3">
      <c r="A609" t="s">
        <v>639</v>
      </c>
      <c r="B609" t="s">
        <v>31</v>
      </c>
      <c r="C609" t="s">
        <v>27</v>
      </c>
      <c r="D609" t="s">
        <v>1034</v>
      </c>
      <c r="E609" t="s">
        <v>19</v>
      </c>
      <c r="F609" t="s">
        <v>18</v>
      </c>
      <c r="G609">
        <v>11769</v>
      </c>
      <c r="H609">
        <v>5895</v>
      </c>
      <c r="I609">
        <v>291</v>
      </c>
      <c r="J609">
        <v>300</v>
      </c>
      <c r="K609">
        <v>1</v>
      </c>
      <c r="L609" t="s">
        <v>20</v>
      </c>
      <c r="M609" t="s">
        <v>21</v>
      </c>
      <c r="N609">
        <v>17664</v>
      </c>
      <c r="O609" t="s">
        <v>25</v>
      </c>
      <c r="P609" t="s">
        <v>23</v>
      </c>
    </row>
    <row r="610" spans="1:16" x14ac:dyDescent="0.3">
      <c r="A610" t="s">
        <v>640</v>
      </c>
      <c r="B610" t="s">
        <v>17</v>
      </c>
      <c r="C610" t="s">
        <v>18</v>
      </c>
      <c r="D610" t="s">
        <v>1032</v>
      </c>
      <c r="E610" t="s">
        <v>28</v>
      </c>
      <c r="F610" t="s">
        <v>27</v>
      </c>
      <c r="G610">
        <v>9833</v>
      </c>
      <c r="H610">
        <v>0</v>
      </c>
      <c r="I610">
        <v>552</v>
      </c>
      <c r="J610">
        <v>360</v>
      </c>
      <c r="K610">
        <v>1</v>
      </c>
      <c r="L610" t="s">
        <v>20</v>
      </c>
      <c r="M610" t="s">
        <v>21</v>
      </c>
      <c r="N610">
        <v>9833</v>
      </c>
      <c r="O610" t="s">
        <v>22</v>
      </c>
      <c r="P610" t="s">
        <v>23</v>
      </c>
    </row>
    <row r="611" spans="1:16" x14ac:dyDescent="0.3">
      <c r="A611" t="s">
        <v>641</v>
      </c>
      <c r="B611" t="s">
        <v>31</v>
      </c>
      <c r="C611" t="s">
        <v>27</v>
      </c>
      <c r="D611" t="s">
        <v>1035</v>
      </c>
      <c r="E611" t="s">
        <v>19</v>
      </c>
      <c r="F611" t="s">
        <v>27</v>
      </c>
      <c r="G611">
        <v>6248</v>
      </c>
      <c r="H611">
        <v>6447</v>
      </c>
      <c r="I611">
        <v>426</v>
      </c>
      <c r="J611">
        <v>240</v>
      </c>
      <c r="K611">
        <v>1</v>
      </c>
      <c r="L611" t="s">
        <v>34</v>
      </c>
      <c r="M611" t="s">
        <v>21</v>
      </c>
      <c r="N611">
        <v>12695</v>
      </c>
      <c r="O611" t="s">
        <v>25</v>
      </c>
      <c r="P611" t="s">
        <v>23</v>
      </c>
    </row>
    <row r="612" spans="1:16" x14ac:dyDescent="0.3">
      <c r="A612" t="s">
        <v>642</v>
      </c>
      <c r="B612" t="s">
        <v>17</v>
      </c>
      <c r="C612" t="s">
        <v>18</v>
      </c>
      <c r="D612" t="s">
        <v>1033</v>
      </c>
      <c r="E612" t="s">
        <v>28</v>
      </c>
      <c r="F612" t="s">
        <v>27</v>
      </c>
      <c r="G612">
        <v>11634</v>
      </c>
      <c r="H612">
        <v>10968</v>
      </c>
      <c r="I612">
        <v>174</v>
      </c>
      <c r="J612">
        <v>360</v>
      </c>
      <c r="K612">
        <v>0</v>
      </c>
      <c r="L612" t="s">
        <v>29</v>
      </c>
      <c r="M612" t="s">
        <v>21</v>
      </c>
      <c r="N612">
        <v>22602</v>
      </c>
      <c r="O612" t="s">
        <v>25</v>
      </c>
      <c r="P612" t="s">
        <v>32</v>
      </c>
    </row>
    <row r="613" spans="1:16" x14ac:dyDescent="0.3">
      <c r="A613" t="s">
        <v>643</v>
      </c>
      <c r="B613" t="s">
        <v>31</v>
      </c>
      <c r="C613" t="s">
        <v>18</v>
      </c>
      <c r="D613" t="s">
        <v>1035</v>
      </c>
      <c r="E613" t="s">
        <v>28</v>
      </c>
      <c r="F613" t="s">
        <v>27</v>
      </c>
      <c r="G613">
        <v>4457</v>
      </c>
      <c r="H613">
        <v>0</v>
      </c>
      <c r="I613">
        <v>354</v>
      </c>
      <c r="J613">
        <v>180</v>
      </c>
      <c r="K613">
        <v>0</v>
      </c>
      <c r="L613" t="s">
        <v>20</v>
      </c>
      <c r="M613" t="s">
        <v>53</v>
      </c>
      <c r="N613">
        <v>4457</v>
      </c>
      <c r="O613" t="s">
        <v>35</v>
      </c>
      <c r="P613" t="s">
        <v>32</v>
      </c>
    </row>
    <row r="614" spans="1:16" x14ac:dyDescent="0.3">
      <c r="A614" t="s">
        <v>644</v>
      </c>
      <c r="B614" t="s">
        <v>31</v>
      </c>
      <c r="C614" t="s">
        <v>27</v>
      </c>
      <c r="D614" t="s">
        <v>1035</v>
      </c>
      <c r="E614" t="s">
        <v>19</v>
      </c>
      <c r="F614" t="s">
        <v>27</v>
      </c>
      <c r="G614">
        <v>4124</v>
      </c>
      <c r="H614">
        <v>13987</v>
      </c>
      <c r="I614">
        <v>532</v>
      </c>
      <c r="J614">
        <v>300</v>
      </c>
      <c r="K614">
        <v>0</v>
      </c>
      <c r="L614" t="s">
        <v>29</v>
      </c>
      <c r="M614" t="s">
        <v>21</v>
      </c>
      <c r="N614">
        <v>18111</v>
      </c>
      <c r="O614" t="s">
        <v>25</v>
      </c>
      <c r="P614" t="s">
        <v>32</v>
      </c>
    </row>
    <row r="615" spans="1:16" x14ac:dyDescent="0.3">
      <c r="A615" t="s">
        <v>645</v>
      </c>
      <c r="B615" t="s">
        <v>31</v>
      </c>
      <c r="C615" t="s">
        <v>18</v>
      </c>
      <c r="D615" t="s">
        <v>1033</v>
      </c>
      <c r="E615" t="s">
        <v>28</v>
      </c>
      <c r="F615" t="s">
        <v>18</v>
      </c>
      <c r="G615">
        <v>13029</v>
      </c>
      <c r="H615">
        <v>7395</v>
      </c>
      <c r="I615">
        <v>514</v>
      </c>
      <c r="J615">
        <v>120</v>
      </c>
      <c r="K615">
        <v>1</v>
      </c>
      <c r="L615" t="s">
        <v>34</v>
      </c>
      <c r="M615" t="s">
        <v>21</v>
      </c>
      <c r="N615">
        <v>20424</v>
      </c>
      <c r="O615" t="s">
        <v>25</v>
      </c>
      <c r="P615" t="s">
        <v>23</v>
      </c>
    </row>
    <row r="616" spans="1:16" x14ac:dyDescent="0.3">
      <c r="A616" t="s">
        <v>646</v>
      </c>
      <c r="B616" t="s">
        <v>17</v>
      </c>
      <c r="C616" t="s">
        <v>27</v>
      </c>
      <c r="D616" t="s">
        <v>1033</v>
      </c>
      <c r="E616" t="s">
        <v>19</v>
      </c>
      <c r="F616" t="s">
        <v>27</v>
      </c>
      <c r="G616">
        <v>8056</v>
      </c>
      <c r="H616">
        <v>10794</v>
      </c>
      <c r="I616">
        <v>371</v>
      </c>
      <c r="J616">
        <v>360</v>
      </c>
      <c r="K616">
        <v>1</v>
      </c>
      <c r="L616" t="s">
        <v>20</v>
      </c>
      <c r="M616" t="s">
        <v>21</v>
      </c>
      <c r="N616">
        <v>18850</v>
      </c>
      <c r="O616" t="s">
        <v>25</v>
      </c>
      <c r="P616" t="s">
        <v>23</v>
      </c>
    </row>
    <row r="617" spans="1:16" x14ac:dyDescent="0.3">
      <c r="A617" t="s">
        <v>647</v>
      </c>
      <c r="B617" t="s">
        <v>17</v>
      </c>
      <c r="C617" t="s">
        <v>18</v>
      </c>
      <c r="D617" t="s">
        <v>1035</v>
      </c>
      <c r="E617" t="s">
        <v>28</v>
      </c>
      <c r="F617" t="s">
        <v>27</v>
      </c>
      <c r="G617">
        <v>17175</v>
      </c>
      <c r="H617">
        <v>0</v>
      </c>
      <c r="I617">
        <v>316</v>
      </c>
      <c r="J617">
        <v>180</v>
      </c>
      <c r="K617">
        <v>1</v>
      </c>
      <c r="L617" t="s">
        <v>29</v>
      </c>
      <c r="M617" t="s">
        <v>21</v>
      </c>
      <c r="N617">
        <v>17175</v>
      </c>
      <c r="O617" t="s">
        <v>25</v>
      </c>
      <c r="P617" t="s">
        <v>23</v>
      </c>
    </row>
    <row r="618" spans="1:16" x14ac:dyDescent="0.3">
      <c r="A618" t="s">
        <v>648</v>
      </c>
      <c r="B618" t="s">
        <v>31</v>
      </c>
      <c r="C618" t="s">
        <v>18</v>
      </c>
      <c r="D618" t="s">
        <v>1034</v>
      </c>
      <c r="E618" t="s">
        <v>28</v>
      </c>
      <c r="F618" t="s">
        <v>27</v>
      </c>
      <c r="G618">
        <v>7460</v>
      </c>
      <c r="H618">
        <v>6947</v>
      </c>
      <c r="I618">
        <v>634</v>
      </c>
      <c r="J618">
        <v>180</v>
      </c>
      <c r="K618">
        <v>1</v>
      </c>
      <c r="L618" t="s">
        <v>20</v>
      </c>
      <c r="M618" t="s">
        <v>21</v>
      </c>
      <c r="N618">
        <v>14407</v>
      </c>
      <c r="O618" t="s">
        <v>25</v>
      </c>
      <c r="P618" t="s">
        <v>23</v>
      </c>
    </row>
    <row r="619" spans="1:16" x14ac:dyDescent="0.3">
      <c r="A619" t="s">
        <v>649</v>
      </c>
      <c r="B619" t="s">
        <v>17</v>
      </c>
      <c r="C619" t="s">
        <v>18</v>
      </c>
      <c r="D619" t="s">
        <v>1035</v>
      </c>
      <c r="E619" t="s">
        <v>19</v>
      </c>
      <c r="F619" t="s">
        <v>27</v>
      </c>
      <c r="G619">
        <v>24478</v>
      </c>
      <c r="H619">
        <v>0</v>
      </c>
      <c r="I619">
        <v>100</v>
      </c>
      <c r="J619">
        <v>300</v>
      </c>
      <c r="K619">
        <v>1</v>
      </c>
      <c r="L619" t="s">
        <v>34</v>
      </c>
      <c r="M619" t="s">
        <v>21</v>
      </c>
      <c r="N619">
        <v>24478</v>
      </c>
      <c r="O619" t="s">
        <v>25</v>
      </c>
      <c r="P619" t="s">
        <v>23</v>
      </c>
    </row>
    <row r="620" spans="1:16" x14ac:dyDescent="0.3">
      <c r="A620" t="s">
        <v>650</v>
      </c>
      <c r="B620" t="s">
        <v>31</v>
      </c>
      <c r="C620" t="s">
        <v>18</v>
      </c>
      <c r="D620" t="s">
        <v>1034</v>
      </c>
      <c r="E620" t="s">
        <v>28</v>
      </c>
      <c r="F620" t="s">
        <v>18</v>
      </c>
      <c r="G620">
        <v>20087</v>
      </c>
      <c r="H620">
        <v>0</v>
      </c>
      <c r="I620">
        <v>588</v>
      </c>
      <c r="J620">
        <v>300</v>
      </c>
      <c r="K620">
        <v>1</v>
      </c>
      <c r="L620" t="s">
        <v>29</v>
      </c>
      <c r="M620" t="s">
        <v>21</v>
      </c>
      <c r="N620">
        <v>20087</v>
      </c>
      <c r="O620" t="s">
        <v>25</v>
      </c>
      <c r="P620" t="s">
        <v>23</v>
      </c>
    </row>
    <row r="621" spans="1:16" x14ac:dyDescent="0.3">
      <c r="A621" t="s">
        <v>651</v>
      </c>
      <c r="B621" t="s">
        <v>31</v>
      </c>
      <c r="C621" t="s">
        <v>18</v>
      </c>
      <c r="D621" t="s">
        <v>1033</v>
      </c>
      <c r="E621" t="s">
        <v>19</v>
      </c>
      <c r="F621" t="s">
        <v>18</v>
      </c>
      <c r="G621">
        <v>10222</v>
      </c>
      <c r="H621">
        <v>5217</v>
      </c>
      <c r="I621">
        <v>441</v>
      </c>
      <c r="J621">
        <v>180</v>
      </c>
      <c r="K621">
        <v>1</v>
      </c>
      <c r="L621" t="s">
        <v>20</v>
      </c>
      <c r="M621" t="s">
        <v>21</v>
      </c>
      <c r="N621">
        <v>15439</v>
      </c>
      <c r="O621" t="s">
        <v>25</v>
      </c>
      <c r="P621" t="s">
        <v>23</v>
      </c>
    </row>
    <row r="622" spans="1:16" x14ac:dyDescent="0.3">
      <c r="A622" t="s">
        <v>652</v>
      </c>
      <c r="B622" t="s">
        <v>17</v>
      </c>
      <c r="C622" t="s">
        <v>27</v>
      </c>
      <c r="D622" t="s">
        <v>1033</v>
      </c>
      <c r="E622" t="s">
        <v>28</v>
      </c>
      <c r="F622" t="s">
        <v>18</v>
      </c>
      <c r="G622">
        <v>14886</v>
      </c>
      <c r="H622">
        <v>0</v>
      </c>
      <c r="I622">
        <v>79</v>
      </c>
      <c r="J622">
        <v>240</v>
      </c>
      <c r="K622">
        <v>0</v>
      </c>
      <c r="L622" t="s">
        <v>20</v>
      </c>
      <c r="M622" t="s">
        <v>21</v>
      </c>
      <c r="N622">
        <v>14886</v>
      </c>
      <c r="O622" t="s">
        <v>25</v>
      </c>
      <c r="P622" t="s">
        <v>32</v>
      </c>
    </row>
    <row r="623" spans="1:16" x14ac:dyDescent="0.3">
      <c r="A623" t="s">
        <v>653</v>
      </c>
      <c r="B623" t="s">
        <v>31</v>
      </c>
      <c r="C623" t="s">
        <v>18</v>
      </c>
      <c r="D623" t="s">
        <v>1032</v>
      </c>
      <c r="E623" t="s">
        <v>28</v>
      </c>
      <c r="F623" t="s">
        <v>18</v>
      </c>
      <c r="G623">
        <v>1838</v>
      </c>
      <c r="H623">
        <v>0</v>
      </c>
      <c r="I623">
        <v>381</v>
      </c>
      <c r="J623">
        <v>300</v>
      </c>
      <c r="K623">
        <v>1</v>
      </c>
      <c r="L623" t="s">
        <v>34</v>
      </c>
      <c r="M623" t="s">
        <v>53</v>
      </c>
      <c r="N623">
        <v>1838</v>
      </c>
      <c r="O623" t="s">
        <v>35</v>
      </c>
      <c r="P623" t="s">
        <v>23</v>
      </c>
    </row>
    <row r="624" spans="1:16" x14ac:dyDescent="0.3">
      <c r="A624" t="s">
        <v>654</v>
      </c>
      <c r="B624" t="s">
        <v>31</v>
      </c>
      <c r="C624" t="s">
        <v>27</v>
      </c>
      <c r="D624" t="s">
        <v>1032</v>
      </c>
      <c r="E624" t="s">
        <v>19</v>
      </c>
      <c r="F624" t="s">
        <v>18</v>
      </c>
      <c r="G624">
        <v>19751</v>
      </c>
      <c r="H624">
        <v>0</v>
      </c>
      <c r="I624">
        <v>390</v>
      </c>
      <c r="J624">
        <v>180</v>
      </c>
      <c r="K624">
        <v>1</v>
      </c>
      <c r="L624" t="s">
        <v>29</v>
      </c>
      <c r="M624" t="s">
        <v>21</v>
      </c>
      <c r="N624">
        <v>19751</v>
      </c>
      <c r="O624" t="s">
        <v>25</v>
      </c>
      <c r="P624" t="s">
        <v>23</v>
      </c>
    </row>
    <row r="625" spans="1:16" x14ac:dyDescent="0.3">
      <c r="A625" t="s">
        <v>655</v>
      </c>
      <c r="B625" t="s">
        <v>17</v>
      </c>
      <c r="C625" t="s">
        <v>18</v>
      </c>
      <c r="D625" t="s">
        <v>1032</v>
      </c>
      <c r="E625" t="s">
        <v>28</v>
      </c>
      <c r="F625" t="s">
        <v>27</v>
      </c>
      <c r="G625">
        <v>14433</v>
      </c>
      <c r="H625">
        <v>11497</v>
      </c>
      <c r="I625">
        <v>185</v>
      </c>
      <c r="J625">
        <v>360</v>
      </c>
      <c r="K625">
        <v>1</v>
      </c>
      <c r="L625" t="s">
        <v>20</v>
      </c>
      <c r="M625" t="s">
        <v>21</v>
      </c>
      <c r="N625">
        <v>25930</v>
      </c>
      <c r="O625" t="s">
        <v>25</v>
      </c>
      <c r="P625" t="s">
        <v>23</v>
      </c>
    </row>
    <row r="626" spans="1:16" x14ac:dyDescent="0.3">
      <c r="A626" t="s">
        <v>656</v>
      </c>
      <c r="B626" t="s">
        <v>31</v>
      </c>
      <c r="C626" t="s">
        <v>18</v>
      </c>
      <c r="D626" t="s">
        <v>1035</v>
      </c>
      <c r="E626" t="s">
        <v>28</v>
      </c>
      <c r="F626" t="s">
        <v>27</v>
      </c>
      <c r="G626">
        <v>5822</v>
      </c>
      <c r="H626">
        <v>1968</v>
      </c>
      <c r="I626">
        <v>593</v>
      </c>
      <c r="J626">
        <v>300</v>
      </c>
      <c r="K626">
        <v>1</v>
      </c>
      <c r="L626" t="s">
        <v>20</v>
      </c>
      <c r="M626" t="s">
        <v>21</v>
      </c>
      <c r="N626">
        <v>7790</v>
      </c>
      <c r="O626" t="s">
        <v>22</v>
      </c>
      <c r="P626" t="s">
        <v>23</v>
      </c>
    </row>
    <row r="627" spans="1:16" x14ac:dyDescent="0.3">
      <c r="A627" t="s">
        <v>657</v>
      </c>
      <c r="B627" t="s">
        <v>31</v>
      </c>
      <c r="C627" t="s">
        <v>18</v>
      </c>
      <c r="D627" t="s">
        <v>1033</v>
      </c>
      <c r="E627" t="s">
        <v>28</v>
      </c>
      <c r="F627" t="s">
        <v>27</v>
      </c>
      <c r="G627">
        <v>13315</v>
      </c>
      <c r="H627">
        <v>7546</v>
      </c>
      <c r="I627">
        <v>319</v>
      </c>
      <c r="J627">
        <v>360</v>
      </c>
      <c r="K627">
        <v>0</v>
      </c>
      <c r="L627" t="s">
        <v>29</v>
      </c>
      <c r="M627" t="s">
        <v>21</v>
      </c>
      <c r="N627">
        <v>20861</v>
      </c>
      <c r="O627" t="s">
        <v>25</v>
      </c>
      <c r="P627" t="s">
        <v>32</v>
      </c>
    </row>
    <row r="628" spans="1:16" x14ac:dyDescent="0.3">
      <c r="A628" t="s">
        <v>658</v>
      </c>
      <c r="B628" t="s">
        <v>31</v>
      </c>
      <c r="C628" t="s">
        <v>27</v>
      </c>
      <c r="D628" t="s">
        <v>1033</v>
      </c>
      <c r="E628" t="s">
        <v>28</v>
      </c>
      <c r="F628" t="s">
        <v>27</v>
      </c>
      <c r="G628">
        <v>6456</v>
      </c>
      <c r="H628">
        <v>9604</v>
      </c>
      <c r="I628">
        <v>104</v>
      </c>
      <c r="J628">
        <v>180</v>
      </c>
      <c r="K628">
        <v>1</v>
      </c>
      <c r="L628" t="s">
        <v>20</v>
      </c>
      <c r="M628" t="s">
        <v>21</v>
      </c>
      <c r="N628">
        <v>16060</v>
      </c>
      <c r="O628" t="s">
        <v>25</v>
      </c>
      <c r="P628" t="s">
        <v>23</v>
      </c>
    </row>
    <row r="629" spans="1:16" x14ac:dyDescent="0.3">
      <c r="A629" t="s">
        <v>659</v>
      </c>
      <c r="B629" t="s">
        <v>17</v>
      </c>
      <c r="C629" t="s">
        <v>18</v>
      </c>
      <c r="D629" t="s">
        <v>1035</v>
      </c>
      <c r="E629" t="s">
        <v>28</v>
      </c>
      <c r="F629" t="s">
        <v>18</v>
      </c>
      <c r="G629">
        <v>24632</v>
      </c>
      <c r="H629">
        <v>8153</v>
      </c>
      <c r="I629">
        <v>168</v>
      </c>
      <c r="J629">
        <v>300</v>
      </c>
      <c r="K629">
        <v>1</v>
      </c>
      <c r="L629" t="s">
        <v>29</v>
      </c>
      <c r="M629" t="s">
        <v>21</v>
      </c>
      <c r="N629">
        <v>32785</v>
      </c>
      <c r="O629" t="s">
        <v>25</v>
      </c>
      <c r="P629" t="s">
        <v>23</v>
      </c>
    </row>
    <row r="630" spans="1:16" x14ac:dyDescent="0.3">
      <c r="A630" t="s">
        <v>660</v>
      </c>
      <c r="B630" t="s">
        <v>31</v>
      </c>
      <c r="C630" t="s">
        <v>27</v>
      </c>
      <c r="D630" t="s">
        <v>1035</v>
      </c>
      <c r="E630" t="s">
        <v>19</v>
      </c>
      <c r="F630" t="s">
        <v>18</v>
      </c>
      <c r="G630">
        <v>5551</v>
      </c>
      <c r="H630">
        <v>0</v>
      </c>
      <c r="I630">
        <v>258</v>
      </c>
      <c r="J630">
        <v>240</v>
      </c>
      <c r="K630">
        <v>1</v>
      </c>
      <c r="L630" t="s">
        <v>20</v>
      </c>
      <c r="M630" t="s">
        <v>21</v>
      </c>
      <c r="N630">
        <v>5551</v>
      </c>
      <c r="O630" t="s">
        <v>22</v>
      </c>
      <c r="P630" t="s">
        <v>23</v>
      </c>
    </row>
    <row r="631" spans="1:16" x14ac:dyDescent="0.3">
      <c r="A631" t="s">
        <v>661</v>
      </c>
      <c r="B631" t="s">
        <v>31</v>
      </c>
      <c r="C631" t="s">
        <v>18</v>
      </c>
      <c r="D631" t="s">
        <v>1034</v>
      </c>
      <c r="E631" t="s">
        <v>19</v>
      </c>
      <c r="F631" t="s">
        <v>27</v>
      </c>
      <c r="G631">
        <v>4017</v>
      </c>
      <c r="H631">
        <v>4533</v>
      </c>
      <c r="I631">
        <v>146</v>
      </c>
      <c r="J631">
        <v>240</v>
      </c>
      <c r="K631">
        <v>1</v>
      </c>
      <c r="L631" t="s">
        <v>34</v>
      </c>
      <c r="M631" t="s">
        <v>21</v>
      </c>
      <c r="N631">
        <v>8550</v>
      </c>
      <c r="O631" t="s">
        <v>22</v>
      </c>
      <c r="P631" t="s">
        <v>23</v>
      </c>
    </row>
    <row r="632" spans="1:16" x14ac:dyDescent="0.3">
      <c r="A632" t="s">
        <v>662</v>
      </c>
      <c r="B632" t="s">
        <v>17</v>
      </c>
      <c r="C632" t="s">
        <v>27</v>
      </c>
      <c r="D632" t="s">
        <v>1032</v>
      </c>
      <c r="E632" t="s">
        <v>19</v>
      </c>
      <c r="F632" t="s">
        <v>27</v>
      </c>
      <c r="G632">
        <v>6538</v>
      </c>
      <c r="H632">
        <v>0</v>
      </c>
      <c r="I632">
        <v>521</v>
      </c>
      <c r="J632">
        <v>300</v>
      </c>
      <c r="K632">
        <v>1</v>
      </c>
      <c r="L632" t="s">
        <v>29</v>
      </c>
      <c r="M632" t="s">
        <v>21</v>
      </c>
      <c r="N632">
        <v>6538</v>
      </c>
      <c r="O632" t="s">
        <v>22</v>
      </c>
      <c r="P632" t="s">
        <v>23</v>
      </c>
    </row>
    <row r="633" spans="1:16" x14ac:dyDescent="0.3">
      <c r="A633" t="s">
        <v>663</v>
      </c>
      <c r="B633" t="s">
        <v>17</v>
      </c>
      <c r="C633" t="s">
        <v>27</v>
      </c>
      <c r="D633" t="s">
        <v>1034</v>
      </c>
      <c r="E633" t="s">
        <v>28</v>
      </c>
      <c r="F633" t="s">
        <v>27</v>
      </c>
      <c r="G633">
        <v>20150</v>
      </c>
      <c r="H633">
        <v>0</v>
      </c>
      <c r="I633">
        <v>99</v>
      </c>
      <c r="J633">
        <v>240</v>
      </c>
      <c r="K633">
        <v>1</v>
      </c>
      <c r="L633" t="s">
        <v>20</v>
      </c>
      <c r="M633" t="s">
        <v>21</v>
      </c>
      <c r="N633">
        <v>20150</v>
      </c>
      <c r="O633" t="s">
        <v>25</v>
      </c>
      <c r="P633" t="s">
        <v>23</v>
      </c>
    </row>
    <row r="634" spans="1:16" x14ac:dyDescent="0.3">
      <c r="A634" t="s">
        <v>664</v>
      </c>
      <c r="B634" t="s">
        <v>17</v>
      </c>
      <c r="C634" t="s">
        <v>27</v>
      </c>
      <c r="D634" t="s">
        <v>1034</v>
      </c>
      <c r="E634" t="s">
        <v>28</v>
      </c>
      <c r="F634" t="s">
        <v>27</v>
      </c>
      <c r="G634">
        <v>7333</v>
      </c>
      <c r="H634">
        <v>4433</v>
      </c>
      <c r="I634">
        <v>141</v>
      </c>
      <c r="J634">
        <v>120</v>
      </c>
      <c r="K634">
        <v>0</v>
      </c>
      <c r="L634" t="s">
        <v>20</v>
      </c>
      <c r="M634" t="s">
        <v>21</v>
      </c>
      <c r="N634">
        <v>11766</v>
      </c>
      <c r="O634" t="s">
        <v>25</v>
      </c>
      <c r="P634" t="s">
        <v>32</v>
      </c>
    </row>
    <row r="635" spans="1:16" x14ac:dyDescent="0.3">
      <c r="A635" t="s">
        <v>665</v>
      </c>
      <c r="B635" t="s">
        <v>31</v>
      </c>
      <c r="C635" t="s">
        <v>27</v>
      </c>
      <c r="D635" t="s">
        <v>1032</v>
      </c>
      <c r="E635" t="s">
        <v>19</v>
      </c>
      <c r="F635" t="s">
        <v>18</v>
      </c>
      <c r="G635">
        <v>11282</v>
      </c>
      <c r="H635">
        <v>8542</v>
      </c>
      <c r="I635">
        <v>367</v>
      </c>
      <c r="J635">
        <v>360</v>
      </c>
      <c r="K635">
        <v>1</v>
      </c>
      <c r="L635" t="s">
        <v>34</v>
      </c>
      <c r="M635" t="s">
        <v>21</v>
      </c>
      <c r="N635">
        <v>19824</v>
      </c>
      <c r="O635" t="s">
        <v>25</v>
      </c>
      <c r="P635" t="s">
        <v>23</v>
      </c>
    </row>
    <row r="636" spans="1:16" x14ac:dyDescent="0.3">
      <c r="A636" t="s">
        <v>666</v>
      </c>
      <c r="B636" t="s">
        <v>17</v>
      </c>
      <c r="C636" t="s">
        <v>27</v>
      </c>
      <c r="D636" t="s">
        <v>1033</v>
      </c>
      <c r="E636" t="s">
        <v>28</v>
      </c>
      <c r="F636" t="s">
        <v>27</v>
      </c>
      <c r="G636">
        <v>14216</v>
      </c>
      <c r="H636">
        <v>8305</v>
      </c>
      <c r="I636">
        <v>626</v>
      </c>
      <c r="J636">
        <v>360</v>
      </c>
      <c r="K636">
        <v>1</v>
      </c>
      <c r="L636" t="s">
        <v>29</v>
      </c>
      <c r="M636" t="s">
        <v>21</v>
      </c>
      <c r="N636">
        <v>22521</v>
      </c>
      <c r="O636" t="s">
        <v>25</v>
      </c>
      <c r="P636" t="s">
        <v>23</v>
      </c>
    </row>
    <row r="637" spans="1:16" x14ac:dyDescent="0.3">
      <c r="A637" t="s">
        <v>667</v>
      </c>
      <c r="B637" t="s">
        <v>31</v>
      </c>
      <c r="C637" t="s">
        <v>18</v>
      </c>
      <c r="D637" t="s">
        <v>1035</v>
      </c>
      <c r="E637" t="s">
        <v>28</v>
      </c>
      <c r="F637" t="s">
        <v>18</v>
      </c>
      <c r="G637">
        <v>2825</v>
      </c>
      <c r="H637">
        <v>8910</v>
      </c>
      <c r="I637">
        <v>524</v>
      </c>
      <c r="J637">
        <v>180</v>
      </c>
      <c r="K637">
        <v>1</v>
      </c>
      <c r="L637" t="s">
        <v>34</v>
      </c>
      <c r="M637" t="s">
        <v>21</v>
      </c>
      <c r="N637">
        <v>11735</v>
      </c>
      <c r="O637" t="s">
        <v>25</v>
      </c>
      <c r="P637" t="s">
        <v>23</v>
      </c>
    </row>
    <row r="638" spans="1:16" x14ac:dyDescent="0.3">
      <c r="A638" t="s">
        <v>668</v>
      </c>
      <c r="B638" t="s">
        <v>17</v>
      </c>
      <c r="C638" t="s">
        <v>27</v>
      </c>
      <c r="D638" t="s">
        <v>1034</v>
      </c>
      <c r="E638" t="s">
        <v>28</v>
      </c>
      <c r="F638" t="s">
        <v>27</v>
      </c>
      <c r="G638">
        <v>15831</v>
      </c>
      <c r="H638">
        <v>1797</v>
      </c>
      <c r="I638">
        <v>357</v>
      </c>
      <c r="J638">
        <v>180</v>
      </c>
      <c r="K638">
        <v>0</v>
      </c>
      <c r="L638" t="s">
        <v>34</v>
      </c>
      <c r="M638" t="s">
        <v>21</v>
      </c>
      <c r="N638">
        <v>17628</v>
      </c>
      <c r="O638" t="s">
        <v>25</v>
      </c>
      <c r="P638" t="s">
        <v>32</v>
      </c>
    </row>
    <row r="639" spans="1:16" x14ac:dyDescent="0.3">
      <c r="A639" t="s">
        <v>669</v>
      </c>
      <c r="B639" t="s">
        <v>31</v>
      </c>
      <c r="C639" t="s">
        <v>18</v>
      </c>
      <c r="D639" t="s">
        <v>1035</v>
      </c>
      <c r="E639" t="s">
        <v>28</v>
      </c>
      <c r="F639" t="s">
        <v>18</v>
      </c>
      <c r="G639">
        <v>19554</v>
      </c>
      <c r="H639">
        <v>0</v>
      </c>
      <c r="I639">
        <v>575</v>
      </c>
      <c r="J639">
        <v>120</v>
      </c>
      <c r="K639">
        <v>1</v>
      </c>
      <c r="L639" t="s">
        <v>29</v>
      </c>
      <c r="M639" t="s">
        <v>21</v>
      </c>
      <c r="N639">
        <v>19554</v>
      </c>
      <c r="O639" t="s">
        <v>25</v>
      </c>
      <c r="P639" t="s">
        <v>23</v>
      </c>
    </row>
    <row r="640" spans="1:16" x14ac:dyDescent="0.3">
      <c r="A640" t="s">
        <v>670</v>
      </c>
      <c r="B640" t="s">
        <v>17</v>
      </c>
      <c r="C640" t="s">
        <v>27</v>
      </c>
      <c r="D640" t="s">
        <v>1032</v>
      </c>
      <c r="E640" t="s">
        <v>28</v>
      </c>
      <c r="F640" t="s">
        <v>27</v>
      </c>
      <c r="G640">
        <v>20687</v>
      </c>
      <c r="H640">
        <v>0</v>
      </c>
      <c r="I640">
        <v>166</v>
      </c>
      <c r="J640">
        <v>300</v>
      </c>
      <c r="K640">
        <v>1</v>
      </c>
      <c r="L640" t="s">
        <v>20</v>
      </c>
      <c r="M640" t="s">
        <v>21</v>
      </c>
      <c r="N640">
        <v>20687</v>
      </c>
      <c r="O640" t="s">
        <v>25</v>
      </c>
      <c r="P640" t="s">
        <v>23</v>
      </c>
    </row>
    <row r="641" spans="1:16" x14ac:dyDescent="0.3">
      <c r="A641" t="s">
        <v>671</v>
      </c>
      <c r="B641" t="s">
        <v>31</v>
      </c>
      <c r="C641" t="s">
        <v>18</v>
      </c>
      <c r="D641" t="s">
        <v>1034</v>
      </c>
      <c r="E641" t="s">
        <v>28</v>
      </c>
      <c r="F641" t="s">
        <v>27</v>
      </c>
      <c r="G641">
        <v>11787</v>
      </c>
      <c r="H641">
        <v>10120</v>
      </c>
      <c r="I641">
        <v>510</v>
      </c>
      <c r="J641">
        <v>360</v>
      </c>
      <c r="K641">
        <v>0</v>
      </c>
      <c r="L641" t="s">
        <v>29</v>
      </c>
      <c r="M641" t="s">
        <v>21</v>
      </c>
      <c r="N641">
        <v>21907</v>
      </c>
      <c r="O641" t="s">
        <v>25</v>
      </c>
      <c r="P641" t="s">
        <v>32</v>
      </c>
    </row>
    <row r="642" spans="1:16" x14ac:dyDescent="0.3">
      <c r="A642" t="s">
        <v>672</v>
      </c>
      <c r="B642" t="s">
        <v>17</v>
      </c>
      <c r="C642" t="s">
        <v>18</v>
      </c>
      <c r="D642" t="s">
        <v>1033</v>
      </c>
      <c r="E642" t="s">
        <v>19</v>
      </c>
      <c r="F642" t="s">
        <v>27</v>
      </c>
      <c r="G642">
        <v>23566</v>
      </c>
      <c r="H642">
        <v>2242</v>
      </c>
      <c r="I642">
        <v>597</v>
      </c>
      <c r="J642">
        <v>120</v>
      </c>
      <c r="K642">
        <v>1</v>
      </c>
      <c r="L642" t="s">
        <v>20</v>
      </c>
      <c r="M642" t="s">
        <v>21</v>
      </c>
      <c r="N642">
        <v>25808</v>
      </c>
      <c r="O642" t="s">
        <v>25</v>
      </c>
      <c r="P642" t="s">
        <v>23</v>
      </c>
    </row>
    <row r="643" spans="1:16" x14ac:dyDescent="0.3">
      <c r="A643" t="s">
        <v>673</v>
      </c>
      <c r="B643" t="s">
        <v>17</v>
      </c>
      <c r="C643" t="s">
        <v>18</v>
      </c>
      <c r="D643" t="s">
        <v>1035</v>
      </c>
      <c r="E643" t="s">
        <v>28</v>
      </c>
      <c r="F643" t="s">
        <v>27</v>
      </c>
      <c r="G643">
        <v>23052</v>
      </c>
      <c r="H643">
        <v>12693</v>
      </c>
      <c r="I643">
        <v>360</v>
      </c>
      <c r="J643">
        <v>360</v>
      </c>
      <c r="K643">
        <v>0</v>
      </c>
      <c r="L643" t="s">
        <v>34</v>
      </c>
      <c r="M643" t="s">
        <v>21</v>
      </c>
      <c r="N643">
        <v>35745</v>
      </c>
      <c r="O643" t="s">
        <v>25</v>
      </c>
      <c r="P643" t="s">
        <v>32</v>
      </c>
    </row>
    <row r="644" spans="1:16" x14ac:dyDescent="0.3">
      <c r="A644" t="s">
        <v>674</v>
      </c>
      <c r="B644" t="s">
        <v>31</v>
      </c>
      <c r="C644" t="s">
        <v>27</v>
      </c>
      <c r="D644" t="s">
        <v>1032</v>
      </c>
      <c r="E644" t="s">
        <v>19</v>
      </c>
      <c r="F644" t="s">
        <v>18</v>
      </c>
      <c r="G644">
        <v>5927</v>
      </c>
      <c r="H644">
        <v>0</v>
      </c>
      <c r="I644">
        <v>164</v>
      </c>
      <c r="J644">
        <v>120</v>
      </c>
      <c r="K644">
        <v>1</v>
      </c>
      <c r="L644" t="s">
        <v>20</v>
      </c>
      <c r="M644" t="s">
        <v>21</v>
      </c>
      <c r="N644">
        <v>5927</v>
      </c>
      <c r="O644" t="s">
        <v>22</v>
      </c>
      <c r="P644" t="s">
        <v>23</v>
      </c>
    </row>
    <row r="645" spans="1:16" x14ac:dyDescent="0.3">
      <c r="A645" t="s">
        <v>675</v>
      </c>
      <c r="B645" t="s">
        <v>17</v>
      </c>
      <c r="C645" t="s">
        <v>18</v>
      </c>
      <c r="D645" t="s">
        <v>1035</v>
      </c>
      <c r="E645" t="s">
        <v>19</v>
      </c>
      <c r="F645" t="s">
        <v>18</v>
      </c>
      <c r="G645">
        <v>15779</v>
      </c>
      <c r="H645">
        <v>0</v>
      </c>
      <c r="I645">
        <v>138</v>
      </c>
      <c r="J645">
        <v>240</v>
      </c>
      <c r="K645">
        <v>1</v>
      </c>
      <c r="L645" t="s">
        <v>20</v>
      </c>
      <c r="M645" t="s">
        <v>21</v>
      </c>
      <c r="N645">
        <v>15779</v>
      </c>
      <c r="O645" t="s">
        <v>25</v>
      </c>
      <c r="P645" t="s">
        <v>23</v>
      </c>
    </row>
    <row r="646" spans="1:16" x14ac:dyDescent="0.3">
      <c r="A646" t="s">
        <v>676</v>
      </c>
      <c r="B646" t="s">
        <v>31</v>
      </c>
      <c r="C646" t="s">
        <v>27</v>
      </c>
      <c r="D646" t="s">
        <v>1034</v>
      </c>
      <c r="E646" t="s">
        <v>19</v>
      </c>
      <c r="F646" t="s">
        <v>18</v>
      </c>
      <c r="G646">
        <v>6494</v>
      </c>
      <c r="H646">
        <v>12604</v>
      </c>
      <c r="I646">
        <v>546</v>
      </c>
      <c r="J646">
        <v>300</v>
      </c>
      <c r="K646">
        <v>1</v>
      </c>
      <c r="L646" t="s">
        <v>29</v>
      </c>
      <c r="M646" t="s">
        <v>21</v>
      </c>
      <c r="N646">
        <v>19098</v>
      </c>
      <c r="O646" t="s">
        <v>25</v>
      </c>
      <c r="P646" t="s">
        <v>23</v>
      </c>
    </row>
    <row r="647" spans="1:16" x14ac:dyDescent="0.3">
      <c r="A647" t="s">
        <v>677</v>
      </c>
      <c r="B647" t="s">
        <v>17</v>
      </c>
      <c r="C647" t="s">
        <v>18</v>
      </c>
      <c r="D647" t="s">
        <v>1032</v>
      </c>
      <c r="E647" t="s">
        <v>28</v>
      </c>
      <c r="F647" t="s">
        <v>18</v>
      </c>
      <c r="G647">
        <v>12439</v>
      </c>
      <c r="H647">
        <v>0</v>
      </c>
      <c r="I647">
        <v>695</v>
      </c>
      <c r="J647">
        <v>300</v>
      </c>
      <c r="K647">
        <v>0</v>
      </c>
      <c r="L647" t="s">
        <v>29</v>
      </c>
      <c r="M647" t="s">
        <v>21</v>
      </c>
      <c r="N647">
        <v>12439</v>
      </c>
      <c r="O647" t="s">
        <v>25</v>
      </c>
      <c r="P647" t="s">
        <v>32</v>
      </c>
    </row>
    <row r="648" spans="1:16" x14ac:dyDescent="0.3">
      <c r="A648" t="s">
        <v>678</v>
      </c>
      <c r="B648" t="s">
        <v>31</v>
      </c>
      <c r="C648" t="s">
        <v>18</v>
      </c>
      <c r="D648" t="s">
        <v>1035</v>
      </c>
      <c r="E648" t="s">
        <v>28</v>
      </c>
      <c r="F648" t="s">
        <v>27</v>
      </c>
      <c r="G648">
        <v>18321</v>
      </c>
      <c r="H648">
        <v>10183</v>
      </c>
      <c r="I648">
        <v>287</v>
      </c>
      <c r="J648">
        <v>120</v>
      </c>
      <c r="K648">
        <v>1</v>
      </c>
      <c r="L648" t="s">
        <v>29</v>
      </c>
      <c r="M648" t="s">
        <v>21</v>
      </c>
      <c r="N648">
        <v>28504</v>
      </c>
      <c r="O648" t="s">
        <v>25</v>
      </c>
      <c r="P648" t="s">
        <v>23</v>
      </c>
    </row>
    <row r="649" spans="1:16" x14ac:dyDescent="0.3">
      <c r="A649" t="s">
        <v>679</v>
      </c>
      <c r="B649" t="s">
        <v>31</v>
      </c>
      <c r="C649" t="s">
        <v>18</v>
      </c>
      <c r="D649" t="s">
        <v>1032</v>
      </c>
      <c r="E649" t="s">
        <v>28</v>
      </c>
      <c r="F649" t="s">
        <v>27</v>
      </c>
      <c r="G649">
        <v>5331</v>
      </c>
      <c r="H649">
        <v>8606</v>
      </c>
      <c r="I649">
        <v>509</v>
      </c>
      <c r="J649">
        <v>300</v>
      </c>
      <c r="K649">
        <v>1</v>
      </c>
      <c r="L649" t="s">
        <v>29</v>
      </c>
      <c r="M649" t="s">
        <v>21</v>
      </c>
      <c r="N649">
        <v>13937</v>
      </c>
      <c r="O649" t="s">
        <v>25</v>
      </c>
      <c r="P649" t="s">
        <v>23</v>
      </c>
    </row>
    <row r="650" spans="1:16" x14ac:dyDescent="0.3">
      <c r="A650" t="s">
        <v>680</v>
      </c>
      <c r="B650" t="s">
        <v>17</v>
      </c>
      <c r="C650" t="s">
        <v>27</v>
      </c>
      <c r="D650" t="s">
        <v>1032</v>
      </c>
      <c r="E650" t="s">
        <v>28</v>
      </c>
      <c r="F650" t="s">
        <v>18</v>
      </c>
      <c r="G650">
        <v>18134</v>
      </c>
      <c r="H650">
        <v>4099</v>
      </c>
      <c r="I650">
        <v>666</v>
      </c>
      <c r="J650">
        <v>300</v>
      </c>
      <c r="K650">
        <v>1</v>
      </c>
      <c r="L650" t="s">
        <v>29</v>
      </c>
      <c r="M650" t="s">
        <v>21</v>
      </c>
      <c r="N650">
        <v>22233</v>
      </c>
      <c r="O650" t="s">
        <v>25</v>
      </c>
      <c r="P650" t="s">
        <v>23</v>
      </c>
    </row>
    <row r="651" spans="1:16" x14ac:dyDescent="0.3">
      <c r="A651" t="s">
        <v>681</v>
      </c>
      <c r="B651" t="s">
        <v>31</v>
      </c>
      <c r="C651" t="s">
        <v>27</v>
      </c>
      <c r="D651" t="s">
        <v>1032</v>
      </c>
      <c r="E651" t="s">
        <v>28</v>
      </c>
      <c r="F651" t="s">
        <v>18</v>
      </c>
      <c r="G651">
        <v>21876</v>
      </c>
      <c r="H651">
        <v>3894</v>
      </c>
      <c r="I651">
        <v>138</v>
      </c>
      <c r="J651">
        <v>300</v>
      </c>
      <c r="K651">
        <v>1</v>
      </c>
      <c r="L651" t="s">
        <v>20</v>
      </c>
      <c r="M651" t="s">
        <v>21</v>
      </c>
      <c r="N651">
        <v>25770</v>
      </c>
      <c r="O651" t="s">
        <v>25</v>
      </c>
      <c r="P651" t="s">
        <v>23</v>
      </c>
    </row>
    <row r="652" spans="1:16" x14ac:dyDescent="0.3">
      <c r="A652" t="s">
        <v>682</v>
      </c>
      <c r="B652" t="s">
        <v>17</v>
      </c>
      <c r="C652" t="s">
        <v>27</v>
      </c>
      <c r="D652" t="s">
        <v>1034</v>
      </c>
      <c r="E652" t="s">
        <v>28</v>
      </c>
      <c r="F652" t="s">
        <v>27</v>
      </c>
      <c r="G652">
        <v>11450</v>
      </c>
      <c r="H652">
        <v>0</v>
      </c>
      <c r="I652">
        <v>620</v>
      </c>
      <c r="J652">
        <v>120</v>
      </c>
      <c r="K652">
        <v>0</v>
      </c>
      <c r="L652" t="s">
        <v>29</v>
      </c>
      <c r="M652" t="s">
        <v>21</v>
      </c>
      <c r="N652">
        <v>11450</v>
      </c>
      <c r="O652" t="s">
        <v>25</v>
      </c>
      <c r="P652" t="s">
        <v>32</v>
      </c>
    </row>
    <row r="653" spans="1:16" x14ac:dyDescent="0.3">
      <c r="A653" t="s">
        <v>683</v>
      </c>
      <c r="B653" t="s">
        <v>31</v>
      </c>
      <c r="C653" t="s">
        <v>27</v>
      </c>
      <c r="D653" t="s">
        <v>1033</v>
      </c>
      <c r="E653" t="s">
        <v>19</v>
      </c>
      <c r="F653" t="s">
        <v>18</v>
      </c>
      <c r="G653">
        <v>3586</v>
      </c>
      <c r="H653">
        <v>6033</v>
      </c>
      <c r="I653">
        <v>166</v>
      </c>
      <c r="J653">
        <v>360</v>
      </c>
      <c r="K653">
        <v>1</v>
      </c>
      <c r="L653" t="s">
        <v>34</v>
      </c>
      <c r="M653" t="s">
        <v>21</v>
      </c>
      <c r="N653">
        <v>9619</v>
      </c>
      <c r="O653" t="s">
        <v>22</v>
      </c>
      <c r="P653" t="s">
        <v>23</v>
      </c>
    </row>
    <row r="654" spans="1:16" x14ac:dyDescent="0.3">
      <c r="A654" t="s">
        <v>684</v>
      </c>
      <c r="B654" t="s">
        <v>17</v>
      </c>
      <c r="C654" t="s">
        <v>27</v>
      </c>
      <c r="D654" t="s">
        <v>1032</v>
      </c>
      <c r="E654" t="s">
        <v>28</v>
      </c>
      <c r="F654" t="s">
        <v>27</v>
      </c>
      <c r="G654">
        <v>3029</v>
      </c>
      <c r="H654">
        <v>13117</v>
      </c>
      <c r="I654">
        <v>204</v>
      </c>
      <c r="J654">
        <v>360</v>
      </c>
      <c r="K654">
        <v>1</v>
      </c>
      <c r="L654" t="s">
        <v>20</v>
      </c>
      <c r="M654" t="s">
        <v>21</v>
      </c>
      <c r="N654">
        <v>16146</v>
      </c>
      <c r="O654" t="s">
        <v>25</v>
      </c>
      <c r="P654" t="s">
        <v>23</v>
      </c>
    </row>
    <row r="655" spans="1:16" x14ac:dyDescent="0.3">
      <c r="A655" t="s">
        <v>685</v>
      </c>
      <c r="B655" t="s">
        <v>17</v>
      </c>
      <c r="C655" t="s">
        <v>27</v>
      </c>
      <c r="D655" t="s">
        <v>1035</v>
      </c>
      <c r="E655" t="s">
        <v>19</v>
      </c>
      <c r="F655" t="s">
        <v>18</v>
      </c>
      <c r="G655">
        <v>21507</v>
      </c>
      <c r="H655">
        <v>0</v>
      </c>
      <c r="I655">
        <v>625</v>
      </c>
      <c r="J655">
        <v>120</v>
      </c>
      <c r="K655">
        <v>1</v>
      </c>
      <c r="L655" t="s">
        <v>20</v>
      </c>
      <c r="M655" t="s">
        <v>21</v>
      </c>
      <c r="N655">
        <v>21507</v>
      </c>
      <c r="O655" t="s">
        <v>25</v>
      </c>
      <c r="P655" t="s">
        <v>23</v>
      </c>
    </row>
    <row r="656" spans="1:16" x14ac:dyDescent="0.3">
      <c r="A656" t="s">
        <v>686</v>
      </c>
      <c r="B656" t="s">
        <v>17</v>
      </c>
      <c r="C656" t="s">
        <v>18</v>
      </c>
      <c r="D656" t="s">
        <v>1032</v>
      </c>
      <c r="E656" t="s">
        <v>19</v>
      </c>
      <c r="F656" t="s">
        <v>27</v>
      </c>
      <c r="G656">
        <v>24705</v>
      </c>
      <c r="H656">
        <v>7733</v>
      </c>
      <c r="I656">
        <v>151</v>
      </c>
      <c r="J656">
        <v>180</v>
      </c>
      <c r="K656">
        <v>1</v>
      </c>
      <c r="L656" t="s">
        <v>29</v>
      </c>
      <c r="M656" t="s">
        <v>21</v>
      </c>
      <c r="N656">
        <v>32438</v>
      </c>
      <c r="O656" t="s">
        <v>25</v>
      </c>
      <c r="P656" t="s">
        <v>23</v>
      </c>
    </row>
    <row r="657" spans="1:16" x14ac:dyDescent="0.3">
      <c r="A657" t="s">
        <v>687</v>
      </c>
      <c r="B657" t="s">
        <v>17</v>
      </c>
      <c r="C657" t="s">
        <v>18</v>
      </c>
      <c r="D657" t="s">
        <v>1033</v>
      </c>
      <c r="E657" t="s">
        <v>28</v>
      </c>
      <c r="F657" t="s">
        <v>27</v>
      </c>
      <c r="G657">
        <v>1715</v>
      </c>
      <c r="H657">
        <v>4519</v>
      </c>
      <c r="I657">
        <v>399</v>
      </c>
      <c r="J657">
        <v>240</v>
      </c>
      <c r="K657">
        <v>1</v>
      </c>
      <c r="L657" t="s">
        <v>20</v>
      </c>
      <c r="M657" t="s">
        <v>21</v>
      </c>
      <c r="N657">
        <v>6234</v>
      </c>
      <c r="O657" t="s">
        <v>22</v>
      </c>
      <c r="P657" t="s">
        <v>23</v>
      </c>
    </row>
    <row r="658" spans="1:16" x14ac:dyDescent="0.3">
      <c r="A658" t="s">
        <v>688</v>
      </c>
      <c r="B658" t="s">
        <v>31</v>
      </c>
      <c r="C658" t="s">
        <v>27</v>
      </c>
      <c r="D658" t="s">
        <v>1035</v>
      </c>
      <c r="E658" t="s">
        <v>28</v>
      </c>
      <c r="F658" t="s">
        <v>18</v>
      </c>
      <c r="G658">
        <v>6467</v>
      </c>
      <c r="H658">
        <v>12840</v>
      </c>
      <c r="I658">
        <v>283</v>
      </c>
      <c r="J658">
        <v>180</v>
      </c>
      <c r="K658">
        <v>0</v>
      </c>
      <c r="L658" t="s">
        <v>29</v>
      </c>
      <c r="M658" t="s">
        <v>21</v>
      </c>
      <c r="N658">
        <v>19307</v>
      </c>
      <c r="O658" t="s">
        <v>25</v>
      </c>
      <c r="P658" t="s">
        <v>32</v>
      </c>
    </row>
    <row r="659" spans="1:16" x14ac:dyDescent="0.3">
      <c r="A659" t="s">
        <v>689</v>
      </c>
      <c r="B659" t="s">
        <v>31</v>
      </c>
      <c r="C659" t="s">
        <v>27</v>
      </c>
      <c r="D659" t="s">
        <v>1032</v>
      </c>
      <c r="E659" t="s">
        <v>19</v>
      </c>
      <c r="F659" t="s">
        <v>27</v>
      </c>
      <c r="G659">
        <v>6270</v>
      </c>
      <c r="H659">
        <v>0</v>
      </c>
      <c r="I659">
        <v>579</v>
      </c>
      <c r="J659">
        <v>120</v>
      </c>
      <c r="K659">
        <v>1</v>
      </c>
      <c r="L659" t="s">
        <v>29</v>
      </c>
      <c r="M659" t="s">
        <v>21</v>
      </c>
      <c r="N659">
        <v>6270</v>
      </c>
      <c r="O659" t="s">
        <v>22</v>
      </c>
      <c r="P659" t="s">
        <v>23</v>
      </c>
    </row>
    <row r="660" spans="1:16" x14ac:dyDescent="0.3">
      <c r="A660" t="s">
        <v>690</v>
      </c>
      <c r="B660" t="s">
        <v>31</v>
      </c>
      <c r="C660" t="s">
        <v>18</v>
      </c>
      <c r="D660" t="s">
        <v>1035</v>
      </c>
      <c r="E660" t="s">
        <v>19</v>
      </c>
      <c r="F660" t="s">
        <v>27</v>
      </c>
      <c r="G660">
        <v>2715</v>
      </c>
      <c r="H660">
        <v>0</v>
      </c>
      <c r="I660">
        <v>638</v>
      </c>
      <c r="J660">
        <v>120</v>
      </c>
      <c r="K660">
        <v>0</v>
      </c>
      <c r="L660" t="s">
        <v>34</v>
      </c>
      <c r="M660" t="s">
        <v>53</v>
      </c>
      <c r="N660">
        <v>2715</v>
      </c>
      <c r="O660" t="s">
        <v>35</v>
      </c>
      <c r="P660" t="s">
        <v>32</v>
      </c>
    </row>
    <row r="661" spans="1:16" x14ac:dyDescent="0.3">
      <c r="A661" t="s">
        <v>691</v>
      </c>
      <c r="B661" t="s">
        <v>31</v>
      </c>
      <c r="C661" t="s">
        <v>27</v>
      </c>
      <c r="D661" t="s">
        <v>1035</v>
      </c>
      <c r="E661" t="s">
        <v>28</v>
      </c>
      <c r="F661" t="s">
        <v>27</v>
      </c>
      <c r="G661">
        <v>12777</v>
      </c>
      <c r="H661">
        <v>629</v>
      </c>
      <c r="I661">
        <v>590</v>
      </c>
      <c r="J661">
        <v>360</v>
      </c>
      <c r="K661">
        <v>0</v>
      </c>
      <c r="L661" t="s">
        <v>34</v>
      </c>
      <c r="M661" t="s">
        <v>21</v>
      </c>
      <c r="N661">
        <v>13406</v>
      </c>
      <c r="O661" t="s">
        <v>25</v>
      </c>
      <c r="P661" t="s">
        <v>32</v>
      </c>
    </row>
    <row r="662" spans="1:16" x14ac:dyDescent="0.3">
      <c r="A662" t="s">
        <v>692</v>
      </c>
      <c r="B662" t="s">
        <v>31</v>
      </c>
      <c r="C662" t="s">
        <v>27</v>
      </c>
      <c r="D662" t="s">
        <v>1033</v>
      </c>
      <c r="E662" t="s">
        <v>28</v>
      </c>
      <c r="F662" t="s">
        <v>27</v>
      </c>
      <c r="G662">
        <v>22758</v>
      </c>
      <c r="H662">
        <v>0</v>
      </c>
      <c r="I662">
        <v>358</v>
      </c>
      <c r="J662">
        <v>120</v>
      </c>
      <c r="K662">
        <v>1</v>
      </c>
      <c r="L662" t="s">
        <v>29</v>
      </c>
      <c r="M662" t="s">
        <v>21</v>
      </c>
      <c r="N662">
        <v>22758</v>
      </c>
      <c r="O662" t="s">
        <v>25</v>
      </c>
      <c r="P662" t="s">
        <v>23</v>
      </c>
    </row>
    <row r="663" spans="1:16" x14ac:dyDescent="0.3">
      <c r="A663" t="s">
        <v>693</v>
      </c>
      <c r="B663" t="s">
        <v>31</v>
      </c>
      <c r="C663" t="s">
        <v>18</v>
      </c>
      <c r="D663" t="s">
        <v>1032</v>
      </c>
      <c r="E663" t="s">
        <v>19</v>
      </c>
      <c r="F663" t="s">
        <v>18</v>
      </c>
      <c r="G663">
        <v>18266</v>
      </c>
      <c r="H663">
        <v>9540</v>
      </c>
      <c r="I663">
        <v>583</v>
      </c>
      <c r="J663">
        <v>240</v>
      </c>
      <c r="K663">
        <v>1</v>
      </c>
      <c r="L663" t="s">
        <v>20</v>
      </c>
      <c r="M663" t="s">
        <v>21</v>
      </c>
      <c r="N663">
        <v>27806</v>
      </c>
      <c r="O663" t="s">
        <v>25</v>
      </c>
      <c r="P663" t="s">
        <v>23</v>
      </c>
    </row>
    <row r="664" spans="1:16" x14ac:dyDescent="0.3">
      <c r="A664" t="s">
        <v>694</v>
      </c>
      <c r="B664" t="s">
        <v>17</v>
      </c>
      <c r="C664" t="s">
        <v>18</v>
      </c>
      <c r="D664" t="s">
        <v>1032</v>
      </c>
      <c r="E664" t="s">
        <v>19</v>
      </c>
      <c r="F664" t="s">
        <v>27</v>
      </c>
      <c r="G664">
        <v>15352</v>
      </c>
      <c r="H664">
        <v>0</v>
      </c>
      <c r="I664">
        <v>111</v>
      </c>
      <c r="J664">
        <v>240</v>
      </c>
      <c r="K664">
        <v>1</v>
      </c>
      <c r="L664" t="s">
        <v>34</v>
      </c>
      <c r="M664" t="s">
        <v>21</v>
      </c>
      <c r="N664">
        <v>15352</v>
      </c>
      <c r="O664" t="s">
        <v>25</v>
      </c>
      <c r="P664" t="s">
        <v>23</v>
      </c>
    </row>
    <row r="665" spans="1:16" x14ac:dyDescent="0.3">
      <c r="A665" t="s">
        <v>695</v>
      </c>
      <c r="B665" t="s">
        <v>31</v>
      </c>
      <c r="C665" t="s">
        <v>18</v>
      </c>
      <c r="D665" t="s">
        <v>1034</v>
      </c>
      <c r="E665" t="s">
        <v>19</v>
      </c>
      <c r="F665" t="s">
        <v>27</v>
      </c>
      <c r="G665">
        <v>11263</v>
      </c>
      <c r="H665">
        <v>0</v>
      </c>
      <c r="I665">
        <v>514</v>
      </c>
      <c r="J665">
        <v>240</v>
      </c>
      <c r="K665">
        <v>0</v>
      </c>
      <c r="L665" t="s">
        <v>34</v>
      </c>
      <c r="M665" t="s">
        <v>21</v>
      </c>
      <c r="N665">
        <v>11263</v>
      </c>
      <c r="O665" t="s">
        <v>25</v>
      </c>
      <c r="P665" t="s">
        <v>32</v>
      </c>
    </row>
    <row r="666" spans="1:16" x14ac:dyDescent="0.3">
      <c r="A666" t="s">
        <v>696</v>
      </c>
      <c r="B666" t="s">
        <v>17</v>
      </c>
      <c r="C666" t="s">
        <v>27</v>
      </c>
      <c r="D666" t="s">
        <v>1032</v>
      </c>
      <c r="E666" t="s">
        <v>28</v>
      </c>
      <c r="F666" t="s">
        <v>18</v>
      </c>
      <c r="G666">
        <v>24907</v>
      </c>
      <c r="H666">
        <v>0</v>
      </c>
      <c r="I666">
        <v>157</v>
      </c>
      <c r="J666">
        <v>240</v>
      </c>
      <c r="K666">
        <v>1</v>
      </c>
      <c r="L666" t="s">
        <v>20</v>
      </c>
      <c r="M666" t="s">
        <v>21</v>
      </c>
      <c r="N666">
        <v>24907</v>
      </c>
      <c r="O666" t="s">
        <v>25</v>
      </c>
      <c r="P666" t="s">
        <v>23</v>
      </c>
    </row>
    <row r="667" spans="1:16" x14ac:dyDescent="0.3">
      <c r="A667" t="s">
        <v>697</v>
      </c>
      <c r="B667" t="s">
        <v>31</v>
      </c>
      <c r="C667" t="s">
        <v>27</v>
      </c>
      <c r="D667" t="s">
        <v>1034</v>
      </c>
      <c r="E667" t="s">
        <v>19</v>
      </c>
      <c r="F667" t="s">
        <v>27</v>
      </c>
      <c r="G667">
        <v>15002</v>
      </c>
      <c r="H667">
        <v>0</v>
      </c>
      <c r="I667">
        <v>113</v>
      </c>
      <c r="J667">
        <v>300</v>
      </c>
      <c r="K667">
        <v>0</v>
      </c>
      <c r="L667" t="s">
        <v>29</v>
      </c>
      <c r="M667" t="s">
        <v>21</v>
      </c>
      <c r="N667">
        <v>15002</v>
      </c>
      <c r="O667" t="s">
        <v>25</v>
      </c>
      <c r="P667" t="s">
        <v>32</v>
      </c>
    </row>
    <row r="668" spans="1:16" x14ac:dyDescent="0.3">
      <c r="A668" t="s">
        <v>698</v>
      </c>
      <c r="B668" t="s">
        <v>17</v>
      </c>
      <c r="C668" t="s">
        <v>27</v>
      </c>
      <c r="D668" t="s">
        <v>1034</v>
      </c>
      <c r="E668" t="s">
        <v>28</v>
      </c>
      <c r="F668" t="s">
        <v>27</v>
      </c>
      <c r="G668">
        <v>20775</v>
      </c>
      <c r="H668">
        <v>9658</v>
      </c>
      <c r="I668">
        <v>320</v>
      </c>
      <c r="J668">
        <v>360</v>
      </c>
      <c r="K668">
        <v>1</v>
      </c>
      <c r="L668" t="s">
        <v>29</v>
      </c>
      <c r="M668" t="s">
        <v>21</v>
      </c>
      <c r="N668">
        <v>30433</v>
      </c>
      <c r="O668" t="s">
        <v>25</v>
      </c>
      <c r="P668" t="s">
        <v>23</v>
      </c>
    </row>
    <row r="669" spans="1:16" x14ac:dyDescent="0.3">
      <c r="A669" t="s">
        <v>699</v>
      </c>
      <c r="B669" t="s">
        <v>31</v>
      </c>
      <c r="C669" t="s">
        <v>27</v>
      </c>
      <c r="D669" t="s">
        <v>1035</v>
      </c>
      <c r="E669" t="s">
        <v>19</v>
      </c>
      <c r="F669" t="s">
        <v>18</v>
      </c>
      <c r="G669">
        <v>18073</v>
      </c>
      <c r="H669">
        <v>2582</v>
      </c>
      <c r="I669">
        <v>518</v>
      </c>
      <c r="J669">
        <v>180</v>
      </c>
      <c r="K669">
        <v>0</v>
      </c>
      <c r="L669" t="s">
        <v>34</v>
      </c>
      <c r="M669" t="s">
        <v>21</v>
      </c>
      <c r="N669">
        <v>20655</v>
      </c>
      <c r="O669" t="s">
        <v>25</v>
      </c>
      <c r="P669" t="s">
        <v>32</v>
      </c>
    </row>
    <row r="670" spans="1:16" x14ac:dyDescent="0.3">
      <c r="A670" t="s">
        <v>700</v>
      </c>
      <c r="B670" t="s">
        <v>17</v>
      </c>
      <c r="C670" t="s">
        <v>18</v>
      </c>
      <c r="D670" t="s">
        <v>1035</v>
      </c>
      <c r="E670" t="s">
        <v>28</v>
      </c>
      <c r="F670" t="s">
        <v>18</v>
      </c>
      <c r="G670">
        <v>6639</v>
      </c>
      <c r="H670">
        <v>9659</v>
      </c>
      <c r="I670">
        <v>171</v>
      </c>
      <c r="J670">
        <v>360</v>
      </c>
      <c r="K670">
        <v>0</v>
      </c>
      <c r="L670" t="s">
        <v>20</v>
      </c>
      <c r="M670" t="s">
        <v>21</v>
      </c>
      <c r="N670">
        <v>16298</v>
      </c>
      <c r="O670" t="s">
        <v>25</v>
      </c>
      <c r="P670" t="s">
        <v>32</v>
      </c>
    </row>
    <row r="671" spans="1:16" x14ac:dyDescent="0.3">
      <c r="A671" t="s">
        <v>701</v>
      </c>
      <c r="B671" t="s">
        <v>17</v>
      </c>
      <c r="C671" t="s">
        <v>27</v>
      </c>
      <c r="D671" t="s">
        <v>1032</v>
      </c>
      <c r="E671" t="s">
        <v>19</v>
      </c>
      <c r="F671" t="s">
        <v>18</v>
      </c>
      <c r="G671">
        <v>5358</v>
      </c>
      <c r="H671">
        <v>6586</v>
      </c>
      <c r="I671">
        <v>433</v>
      </c>
      <c r="J671">
        <v>240</v>
      </c>
      <c r="K671">
        <v>1</v>
      </c>
      <c r="L671" t="s">
        <v>20</v>
      </c>
      <c r="M671" t="s">
        <v>21</v>
      </c>
      <c r="N671">
        <v>11944</v>
      </c>
      <c r="O671" t="s">
        <v>25</v>
      </c>
      <c r="P671" t="s">
        <v>23</v>
      </c>
    </row>
    <row r="672" spans="1:16" x14ac:dyDescent="0.3">
      <c r="A672" t="s">
        <v>702</v>
      </c>
      <c r="B672" t="s">
        <v>17</v>
      </c>
      <c r="C672" t="s">
        <v>18</v>
      </c>
      <c r="D672" t="s">
        <v>1035</v>
      </c>
      <c r="E672" t="s">
        <v>19</v>
      </c>
      <c r="F672" t="s">
        <v>27</v>
      </c>
      <c r="G672">
        <v>10789</v>
      </c>
      <c r="H672">
        <v>0</v>
      </c>
      <c r="I672">
        <v>550</v>
      </c>
      <c r="J672">
        <v>120</v>
      </c>
      <c r="K672">
        <v>1</v>
      </c>
      <c r="L672" t="s">
        <v>29</v>
      </c>
      <c r="M672" t="s">
        <v>21</v>
      </c>
      <c r="N672">
        <v>10789</v>
      </c>
      <c r="O672" t="s">
        <v>25</v>
      </c>
      <c r="P672" t="s">
        <v>23</v>
      </c>
    </row>
    <row r="673" spans="1:16" x14ac:dyDescent="0.3">
      <c r="A673" t="s">
        <v>703</v>
      </c>
      <c r="B673" t="s">
        <v>17</v>
      </c>
      <c r="C673" t="s">
        <v>18</v>
      </c>
      <c r="D673" t="s">
        <v>1035</v>
      </c>
      <c r="E673" t="s">
        <v>28</v>
      </c>
      <c r="F673" t="s">
        <v>27</v>
      </c>
      <c r="G673">
        <v>20038</v>
      </c>
      <c r="H673">
        <v>7911</v>
      </c>
      <c r="I673">
        <v>436</v>
      </c>
      <c r="J673">
        <v>300</v>
      </c>
      <c r="K673">
        <v>0</v>
      </c>
      <c r="L673" t="s">
        <v>34</v>
      </c>
      <c r="M673" t="s">
        <v>21</v>
      </c>
      <c r="N673">
        <v>27949</v>
      </c>
      <c r="O673" t="s">
        <v>25</v>
      </c>
      <c r="P673" t="s">
        <v>32</v>
      </c>
    </row>
    <row r="674" spans="1:16" x14ac:dyDescent="0.3">
      <c r="A674" t="s">
        <v>704</v>
      </c>
      <c r="B674" t="s">
        <v>17</v>
      </c>
      <c r="C674" t="s">
        <v>18</v>
      </c>
      <c r="D674" t="s">
        <v>1035</v>
      </c>
      <c r="E674" t="s">
        <v>28</v>
      </c>
      <c r="F674" t="s">
        <v>27</v>
      </c>
      <c r="G674">
        <v>6381</v>
      </c>
      <c r="H674">
        <v>14694</v>
      </c>
      <c r="I674">
        <v>141</v>
      </c>
      <c r="J674">
        <v>360</v>
      </c>
      <c r="K674">
        <v>1</v>
      </c>
      <c r="L674" t="s">
        <v>29</v>
      </c>
      <c r="M674" t="s">
        <v>21</v>
      </c>
      <c r="N674">
        <v>21075</v>
      </c>
      <c r="O674" t="s">
        <v>25</v>
      </c>
      <c r="P674" t="s">
        <v>23</v>
      </c>
    </row>
    <row r="675" spans="1:16" x14ac:dyDescent="0.3">
      <c r="A675" t="s">
        <v>705</v>
      </c>
      <c r="B675" t="s">
        <v>31</v>
      </c>
      <c r="C675" t="s">
        <v>18</v>
      </c>
      <c r="D675" t="s">
        <v>1035</v>
      </c>
      <c r="E675" t="s">
        <v>28</v>
      </c>
      <c r="F675" t="s">
        <v>18</v>
      </c>
      <c r="G675">
        <v>23469</v>
      </c>
      <c r="H675">
        <v>7759</v>
      </c>
      <c r="I675">
        <v>140</v>
      </c>
      <c r="J675">
        <v>180</v>
      </c>
      <c r="K675">
        <v>1</v>
      </c>
      <c r="L675" t="s">
        <v>34</v>
      </c>
      <c r="M675" t="s">
        <v>21</v>
      </c>
      <c r="N675">
        <v>31228</v>
      </c>
      <c r="O675" t="s">
        <v>25</v>
      </c>
      <c r="P675" t="s">
        <v>23</v>
      </c>
    </row>
    <row r="676" spans="1:16" x14ac:dyDescent="0.3">
      <c r="A676" t="s">
        <v>706</v>
      </c>
      <c r="B676" t="s">
        <v>31</v>
      </c>
      <c r="C676" t="s">
        <v>18</v>
      </c>
      <c r="D676" t="s">
        <v>1034</v>
      </c>
      <c r="E676" t="s">
        <v>19</v>
      </c>
      <c r="F676" t="s">
        <v>18</v>
      </c>
      <c r="G676">
        <v>20185</v>
      </c>
      <c r="H676">
        <v>0</v>
      </c>
      <c r="I676">
        <v>537</v>
      </c>
      <c r="J676">
        <v>360</v>
      </c>
      <c r="K676">
        <v>0</v>
      </c>
      <c r="L676" t="s">
        <v>20</v>
      </c>
      <c r="M676" t="s">
        <v>21</v>
      </c>
      <c r="N676">
        <v>20185</v>
      </c>
      <c r="O676" t="s">
        <v>25</v>
      </c>
      <c r="P676" t="s">
        <v>32</v>
      </c>
    </row>
    <row r="677" spans="1:16" x14ac:dyDescent="0.3">
      <c r="A677" t="s">
        <v>707</v>
      </c>
      <c r="B677" t="s">
        <v>17</v>
      </c>
      <c r="C677" t="s">
        <v>18</v>
      </c>
      <c r="D677" t="s">
        <v>1032</v>
      </c>
      <c r="E677" t="s">
        <v>19</v>
      </c>
      <c r="F677" t="s">
        <v>18</v>
      </c>
      <c r="G677">
        <v>24621</v>
      </c>
      <c r="H677">
        <v>14244</v>
      </c>
      <c r="I677">
        <v>136</v>
      </c>
      <c r="J677">
        <v>360</v>
      </c>
      <c r="K677">
        <v>1</v>
      </c>
      <c r="L677" t="s">
        <v>29</v>
      </c>
      <c r="M677" t="s">
        <v>21</v>
      </c>
      <c r="N677">
        <v>38865</v>
      </c>
      <c r="O677" t="s">
        <v>25</v>
      </c>
      <c r="P677" t="s">
        <v>23</v>
      </c>
    </row>
    <row r="678" spans="1:16" x14ac:dyDescent="0.3">
      <c r="A678" t="s">
        <v>708</v>
      </c>
      <c r="B678" t="s">
        <v>17</v>
      </c>
      <c r="C678" t="s">
        <v>27</v>
      </c>
      <c r="D678" t="s">
        <v>1034</v>
      </c>
      <c r="E678" t="s">
        <v>28</v>
      </c>
      <c r="F678" t="s">
        <v>27</v>
      </c>
      <c r="G678">
        <v>7414</v>
      </c>
      <c r="H678">
        <v>0</v>
      </c>
      <c r="I678">
        <v>590</v>
      </c>
      <c r="J678">
        <v>240</v>
      </c>
      <c r="K678">
        <v>1</v>
      </c>
      <c r="L678" t="s">
        <v>20</v>
      </c>
      <c r="M678" t="s">
        <v>21</v>
      </c>
      <c r="N678">
        <v>7414</v>
      </c>
      <c r="O678" t="s">
        <v>22</v>
      </c>
      <c r="P678" t="s">
        <v>23</v>
      </c>
    </row>
    <row r="679" spans="1:16" x14ac:dyDescent="0.3">
      <c r="A679" t="s">
        <v>709</v>
      </c>
      <c r="B679" t="s">
        <v>17</v>
      </c>
      <c r="C679" t="s">
        <v>18</v>
      </c>
      <c r="D679" t="s">
        <v>1033</v>
      </c>
      <c r="E679" t="s">
        <v>28</v>
      </c>
      <c r="F679" t="s">
        <v>18</v>
      </c>
      <c r="G679">
        <v>7485</v>
      </c>
      <c r="H679">
        <v>0</v>
      </c>
      <c r="I679">
        <v>207</v>
      </c>
      <c r="J679">
        <v>240</v>
      </c>
      <c r="K679">
        <v>0</v>
      </c>
      <c r="L679" t="s">
        <v>34</v>
      </c>
      <c r="M679" t="s">
        <v>53</v>
      </c>
      <c r="N679">
        <v>7485</v>
      </c>
      <c r="O679" t="s">
        <v>22</v>
      </c>
      <c r="P679" t="s">
        <v>32</v>
      </c>
    </row>
    <row r="680" spans="1:16" x14ac:dyDescent="0.3">
      <c r="A680" t="s">
        <v>710</v>
      </c>
      <c r="B680" t="s">
        <v>17</v>
      </c>
      <c r="C680" t="s">
        <v>18</v>
      </c>
      <c r="D680" t="s">
        <v>1032</v>
      </c>
      <c r="E680" t="s">
        <v>19</v>
      </c>
      <c r="F680" t="s">
        <v>18</v>
      </c>
      <c r="G680">
        <v>24873</v>
      </c>
      <c r="H680">
        <v>1458</v>
      </c>
      <c r="I680">
        <v>449</v>
      </c>
      <c r="J680">
        <v>120</v>
      </c>
      <c r="K680">
        <v>1</v>
      </c>
      <c r="L680" t="s">
        <v>29</v>
      </c>
      <c r="M680" t="s">
        <v>21</v>
      </c>
      <c r="N680">
        <v>26331</v>
      </c>
      <c r="O680" t="s">
        <v>25</v>
      </c>
      <c r="P680" t="s">
        <v>23</v>
      </c>
    </row>
    <row r="681" spans="1:16" x14ac:dyDescent="0.3">
      <c r="A681" t="s">
        <v>711</v>
      </c>
      <c r="B681" t="s">
        <v>31</v>
      </c>
      <c r="C681" t="s">
        <v>27</v>
      </c>
      <c r="D681" t="s">
        <v>1035</v>
      </c>
      <c r="E681" t="s">
        <v>19</v>
      </c>
      <c r="F681" t="s">
        <v>18</v>
      </c>
      <c r="G681">
        <v>8137</v>
      </c>
      <c r="H681">
        <v>0</v>
      </c>
      <c r="I681">
        <v>554</v>
      </c>
      <c r="J681">
        <v>360</v>
      </c>
      <c r="K681">
        <v>1</v>
      </c>
      <c r="L681" t="s">
        <v>29</v>
      </c>
      <c r="M681" t="s">
        <v>21</v>
      </c>
      <c r="N681">
        <v>8137</v>
      </c>
      <c r="O681" t="s">
        <v>22</v>
      </c>
      <c r="P681" t="s">
        <v>23</v>
      </c>
    </row>
    <row r="682" spans="1:16" x14ac:dyDescent="0.3">
      <c r="A682" t="s">
        <v>712</v>
      </c>
      <c r="B682" t="s">
        <v>17</v>
      </c>
      <c r="C682" t="s">
        <v>27</v>
      </c>
      <c r="D682" t="s">
        <v>1034</v>
      </c>
      <c r="E682" t="s">
        <v>28</v>
      </c>
      <c r="F682" t="s">
        <v>27</v>
      </c>
      <c r="G682">
        <v>19624</v>
      </c>
      <c r="H682">
        <v>0</v>
      </c>
      <c r="I682">
        <v>545</v>
      </c>
      <c r="J682">
        <v>120</v>
      </c>
      <c r="K682">
        <v>1</v>
      </c>
      <c r="L682" t="s">
        <v>20</v>
      </c>
      <c r="M682" t="s">
        <v>21</v>
      </c>
      <c r="N682">
        <v>19624</v>
      </c>
      <c r="O682" t="s">
        <v>25</v>
      </c>
      <c r="P682" t="s">
        <v>23</v>
      </c>
    </row>
    <row r="683" spans="1:16" x14ac:dyDescent="0.3">
      <c r="A683" t="s">
        <v>713</v>
      </c>
      <c r="B683" t="s">
        <v>17</v>
      </c>
      <c r="C683" t="s">
        <v>27</v>
      </c>
      <c r="D683" t="s">
        <v>1034</v>
      </c>
      <c r="E683" t="s">
        <v>19</v>
      </c>
      <c r="F683" t="s">
        <v>18</v>
      </c>
      <c r="G683">
        <v>11481</v>
      </c>
      <c r="H683">
        <v>9810</v>
      </c>
      <c r="I683">
        <v>506</v>
      </c>
      <c r="J683">
        <v>120</v>
      </c>
      <c r="K683">
        <v>0</v>
      </c>
      <c r="L683" t="s">
        <v>34</v>
      </c>
      <c r="M683" t="s">
        <v>21</v>
      </c>
      <c r="N683">
        <v>21291</v>
      </c>
      <c r="O683" t="s">
        <v>25</v>
      </c>
      <c r="P683" t="s">
        <v>32</v>
      </c>
    </row>
    <row r="684" spans="1:16" x14ac:dyDescent="0.3">
      <c r="A684" t="s">
        <v>714</v>
      </c>
      <c r="B684" t="s">
        <v>17</v>
      </c>
      <c r="C684" t="s">
        <v>18</v>
      </c>
      <c r="D684" t="s">
        <v>1032</v>
      </c>
      <c r="E684" t="s">
        <v>19</v>
      </c>
      <c r="F684" t="s">
        <v>18</v>
      </c>
      <c r="G684">
        <v>19113</v>
      </c>
      <c r="H684">
        <v>7442</v>
      </c>
      <c r="I684">
        <v>92</v>
      </c>
      <c r="J684">
        <v>120</v>
      </c>
      <c r="K684">
        <v>0</v>
      </c>
      <c r="L684" t="s">
        <v>34</v>
      </c>
      <c r="M684" t="s">
        <v>21</v>
      </c>
      <c r="N684">
        <v>26555</v>
      </c>
      <c r="O684" t="s">
        <v>25</v>
      </c>
      <c r="P684" t="s">
        <v>32</v>
      </c>
    </row>
    <row r="685" spans="1:16" x14ac:dyDescent="0.3">
      <c r="A685" t="s">
        <v>715</v>
      </c>
      <c r="B685" t="s">
        <v>31</v>
      </c>
      <c r="C685" t="s">
        <v>18</v>
      </c>
      <c r="D685" t="s">
        <v>1034</v>
      </c>
      <c r="E685" t="s">
        <v>19</v>
      </c>
      <c r="F685" t="s">
        <v>27</v>
      </c>
      <c r="G685">
        <v>10455</v>
      </c>
      <c r="H685">
        <v>10295</v>
      </c>
      <c r="I685">
        <v>439</v>
      </c>
      <c r="J685">
        <v>240</v>
      </c>
      <c r="K685">
        <v>0</v>
      </c>
      <c r="L685" t="s">
        <v>20</v>
      </c>
      <c r="M685" t="s">
        <v>21</v>
      </c>
      <c r="N685">
        <v>20750</v>
      </c>
      <c r="O685" t="s">
        <v>25</v>
      </c>
      <c r="P685" t="s">
        <v>32</v>
      </c>
    </row>
    <row r="686" spans="1:16" x14ac:dyDescent="0.3">
      <c r="A686" t="s">
        <v>716</v>
      </c>
      <c r="B686" t="s">
        <v>31</v>
      </c>
      <c r="C686" t="s">
        <v>18</v>
      </c>
      <c r="D686" t="s">
        <v>1033</v>
      </c>
      <c r="E686" t="s">
        <v>19</v>
      </c>
      <c r="F686" t="s">
        <v>27</v>
      </c>
      <c r="G686">
        <v>4439</v>
      </c>
      <c r="H686">
        <v>0</v>
      </c>
      <c r="I686">
        <v>193</v>
      </c>
      <c r="J686">
        <v>360</v>
      </c>
      <c r="K686">
        <v>0</v>
      </c>
      <c r="L686" t="s">
        <v>29</v>
      </c>
      <c r="M686" t="s">
        <v>53</v>
      </c>
      <c r="N686">
        <v>4439</v>
      </c>
      <c r="O686" t="s">
        <v>35</v>
      </c>
      <c r="P686" t="s">
        <v>32</v>
      </c>
    </row>
    <row r="687" spans="1:16" x14ac:dyDescent="0.3">
      <c r="A687" t="s">
        <v>717</v>
      </c>
      <c r="B687" t="s">
        <v>17</v>
      </c>
      <c r="C687" t="s">
        <v>27</v>
      </c>
      <c r="D687" t="s">
        <v>1032</v>
      </c>
      <c r="E687" t="s">
        <v>28</v>
      </c>
      <c r="F687" t="s">
        <v>27</v>
      </c>
      <c r="G687">
        <v>10446</v>
      </c>
      <c r="H687">
        <v>4529</v>
      </c>
      <c r="I687">
        <v>399</v>
      </c>
      <c r="J687">
        <v>180</v>
      </c>
      <c r="K687">
        <v>1</v>
      </c>
      <c r="L687" t="s">
        <v>34</v>
      </c>
      <c r="M687" t="s">
        <v>21</v>
      </c>
      <c r="N687">
        <v>14975</v>
      </c>
      <c r="O687" t="s">
        <v>25</v>
      </c>
      <c r="P687" t="s">
        <v>23</v>
      </c>
    </row>
    <row r="688" spans="1:16" x14ac:dyDescent="0.3">
      <c r="A688" t="s">
        <v>718</v>
      </c>
      <c r="B688" t="s">
        <v>31</v>
      </c>
      <c r="C688" t="s">
        <v>18</v>
      </c>
      <c r="D688" t="s">
        <v>1033</v>
      </c>
      <c r="E688" t="s">
        <v>19</v>
      </c>
      <c r="F688" t="s">
        <v>27</v>
      </c>
      <c r="G688">
        <v>1640</v>
      </c>
      <c r="H688">
        <v>0</v>
      </c>
      <c r="I688">
        <v>473</v>
      </c>
      <c r="J688">
        <v>360</v>
      </c>
      <c r="K688">
        <v>0</v>
      </c>
      <c r="L688" t="s">
        <v>34</v>
      </c>
      <c r="M688" t="s">
        <v>53</v>
      </c>
      <c r="N688">
        <v>1640</v>
      </c>
      <c r="O688" t="s">
        <v>35</v>
      </c>
      <c r="P688" t="s">
        <v>32</v>
      </c>
    </row>
    <row r="689" spans="1:16" x14ac:dyDescent="0.3">
      <c r="A689" t="s">
        <v>719</v>
      </c>
      <c r="B689" t="s">
        <v>31</v>
      </c>
      <c r="C689" t="s">
        <v>27</v>
      </c>
      <c r="D689" t="s">
        <v>1034</v>
      </c>
      <c r="E689" t="s">
        <v>19</v>
      </c>
      <c r="F689" t="s">
        <v>18</v>
      </c>
      <c r="G689">
        <v>23507</v>
      </c>
      <c r="H689">
        <v>0</v>
      </c>
      <c r="I689">
        <v>411</v>
      </c>
      <c r="J689">
        <v>300</v>
      </c>
      <c r="K689">
        <v>0</v>
      </c>
      <c r="L689" t="s">
        <v>29</v>
      </c>
      <c r="M689" t="s">
        <v>21</v>
      </c>
      <c r="N689">
        <v>23507</v>
      </c>
      <c r="O689" t="s">
        <v>25</v>
      </c>
      <c r="P689" t="s">
        <v>32</v>
      </c>
    </row>
    <row r="690" spans="1:16" x14ac:dyDescent="0.3">
      <c r="A690" t="s">
        <v>720</v>
      </c>
      <c r="B690" t="s">
        <v>31</v>
      </c>
      <c r="C690" t="s">
        <v>18</v>
      </c>
      <c r="D690" t="s">
        <v>1034</v>
      </c>
      <c r="E690" t="s">
        <v>19</v>
      </c>
      <c r="F690" t="s">
        <v>27</v>
      </c>
      <c r="G690">
        <v>13639</v>
      </c>
      <c r="H690">
        <v>3661</v>
      </c>
      <c r="I690">
        <v>59</v>
      </c>
      <c r="J690">
        <v>180</v>
      </c>
      <c r="K690">
        <v>1</v>
      </c>
      <c r="L690" t="s">
        <v>29</v>
      </c>
      <c r="M690" t="s">
        <v>21</v>
      </c>
      <c r="N690">
        <v>17300</v>
      </c>
      <c r="O690" t="s">
        <v>25</v>
      </c>
      <c r="P690" t="s">
        <v>23</v>
      </c>
    </row>
    <row r="691" spans="1:16" x14ac:dyDescent="0.3">
      <c r="A691" t="s">
        <v>721</v>
      </c>
      <c r="B691" t="s">
        <v>31</v>
      </c>
      <c r="C691" t="s">
        <v>18</v>
      </c>
      <c r="D691" t="s">
        <v>1034</v>
      </c>
      <c r="E691" t="s">
        <v>28</v>
      </c>
      <c r="F691" t="s">
        <v>18</v>
      </c>
      <c r="G691">
        <v>9176</v>
      </c>
      <c r="H691">
        <v>8590</v>
      </c>
      <c r="I691">
        <v>87</v>
      </c>
      <c r="J691">
        <v>240</v>
      </c>
      <c r="K691">
        <v>1</v>
      </c>
      <c r="L691" t="s">
        <v>34</v>
      </c>
      <c r="M691" t="s">
        <v>21</v>
      </c>
      <c r="N691">
        <v>17766</v>
      </c>
      <c r="O691" t="s">
        <v>25</v>
      </c>
      <c r="P691" t="s">
        <v>23</v>
      </c>
    </row>
    <row r="692" spans="1:16" x14ac:dyDescent="0.3">
      <c r="A692" t="s">
        <v>722</v>
      </c>
      <c r="B692" t="s">
        <v>17</v>
      </c>
      <c r="C692" t="s">
        <v>18</v>
      </c>
      <c r="D692" t="s">
        <v>1033</v>
      </c>
      <c r="E692" t="s">
        <v>28</v>
      </c>
      <c r="F692" t="s">
        <v>18</v>
      </c>
      <c r="G692">
        <v>10588</v>
      </c>
      <c r="H692">
        <v>9824</v>
      </c>
      <c r="I692">
        <v>224</v>
      </c>
      <c r="J692">
        <v>360</v>
      </c>
      <c r="K692">
        <v>1</v>
      </c>
      <c r="L692" t="s">
        <v>34</v>
      </c>
      <c r="M692" t="s">
        <v>21</v>
      </c>
      <c r="N692">
        <v>20412</v>
      </c>
      <c r="O692" t="s">
        <v>25</v>
      </c>
      <c r="P692" t="s">
        <v>23</v>
      </c>
    </row>
    <row r="693" spans="1:16" x14ac:dyDescent="0.3">
      <c r="A693" t="s">
        <v>723</v>
      </c>
      <c r="B693" t="s">
        <v>17</v>
      </c>
      <c r="C693" t="s">
        <v>18</v>
      </c>
      <c r="D693" t="s">
        <v>1033</v>
      </c>
      <c r="E693" t="s">
        <v>19</v>
      </c>
      <c r="F693" t="s">
        <v>18</v>
      </c>
      <c r="G693">
        <v>10007</v>
      </c>
      <c r="H693">
        <v>0</v>
      </c>
      <c r="I693">
        <v>585</v>
      </c>
      <c r="J693">
        <v>240</v>
      </c>
      <c r="K693">
        <v>1</v>
      </c>
      <c r="L693" t="s">
        <v>34</v>
      </c>
      <c r="M693" t="s">
        <v>21</v>
      </c>
      <c r="N693">
        <v>10007</v>
      </c>
      <c r="O693" t="s">
        <v>25</v>
      </c>
      <c r="P693" t="s">
        <v>23</v>
      </c>
    </row>
    <row r="694" spans="1:16" x14ac:dyDescent="0.3">
      <c r="A694" t="s">
        <v>724</v>
      </c>
      <c r="B694" t="s">
        <v>17</v>
      </c>
      <c r="C694" t="s">
        <v>27</v>
      </c>
      <c r="D694" t="s">
        <v>1035</v>
      </c>
      <c r="E694" t="s">
        <v>19</v>
      </c>
      <c r="F694" t="s">
        <v>27</v>
      </c>
      <c r="G694">
        <v>22503</v>
      </c>
      <c r="H694">
        <v>0</v>
      </c>
      <c r="I694">
        <v>380</v>
      </c>
      <c r="J694">
        <v>300</v>
      </c>
      <c r="K694">
        <v>0</v>
      </c>
      <c r="L694" t="s">
        <v>29</v>
      </c>
      <c r="M694" t="s">
        <v>21</v>
      </c>
      <c r="N694">
        <v>22503</v>
      </c>
      <c r="O694" t="s">
        <v>25</v>
      </c>
      <c r="P694" t="s">
        <v>32</v>
      </c>
    </row>
    <row r="695" spans="1:16" x14ac:dyDescent="0.3">
      <c r="A695" t="s">
        <v>725</v>
      </c>
      <c r="B695" t="s">
        <v>31</v>
      </c>
      <c r="C695" t="s">
        <v>18</v>
      </c>
      <c r="D695" t="s">
        <v>1035</v>
      </c>
      <c r="E695" t="s">
        <v>28</v>
      </c>
      <c r="F695" t="s">
        <v>27</v>
      </c>
      <c r="G695">
        <v>18449</v>
      </c>
      <c r="H695">
        <v>0</v>
      </c>
      <c r="I695">
        <v>279</v>
      </c>
      <c r="J695">
        <v>120</v>
      </c>
      <c r="K695">
        <v>1</v>
      </c>
      <c r="L695" t="s">
        <v>29</v>
      </c>
      <c r="M695" t="s">
        <v>21</v>
      </c>
      <c r="N695">
        <v>18449</v>
      </c>
      <c r="O695" t="s">
        <v>25</v>
      </c>
      <c r="P695" t="s">
        <v>23</v>
      </c>
    </row>
    <row r="696" spans="1:16" x14ac:dyDescent="0.3">
      <c r="A696" t="s">
        <v>726</v>
      </c>
      <c r="B696" t="s">
        <v>31</v>
      </c>
      <c r="C696" t="s">
        <v>27</v>
      </c>
      <c r="D696" t="s">
        <v>1034</v>
      </c>
      <c r="E696" t="s">
        <v>28</v>
      </c>
      <c r="F696" t="s">
        <v>18</v>
      </c>
      <c r="G696">
        <v>12467</v>
      </c>
      <c r="H696">
        <v>0</v>
      </c>
      <c r="I696">
        <v>281</v>
      </c>
      <c r="J696">
        <v>300</v>
      </c>
      <c r="K696">
        <v>0</v>
      </c>
      <c r="L696" t="s">
        <v>20</v>
      </c>
      <c r="M696" t="s">
        <v>21</v>
      </c>
      <c r="N696">
        <v>12467</v>
      </c>
      <c r="O696" t="s">
        <v>25</v>
      </c>
      <c r="P696" t="s">
        <v>32</v>
      </c>
    </row>
    <row r="697" spans="1:16" x14ac:dyDescent="0.3">
      <c r="A697" t="s">
        <v>727</v>
      </c>
      <c r="B697" t="s">
        <v>17</v>
      </c>
      <c r="C697" t="s">
        <v>18</v>
      </c>
      <c r="D697" t="s">
        <v>1032</v>
      </c>
      <c r="E697" t="s">
        <v>28</v>
      </c>
      <c r="F697" t="s">
        <v>18</v>
      </c>
      <c r="G697">
        <v>22012</v>
      </c>
      <c r="H697">
        <v>0</v>
      </c>
      <c r="I697">
        <v>78</v>
      </c>
      <c r="J697">
        <v>300</v>
      </c>
      <c r="K697">
        <v>1</v>
      </c>
      <c r="L697" t="s">
        <v>20</v>
      </c>
      <c r="M697" t="s">
        <v>21</v>
      </c>
      <c r="N697">
        <v>22012</v>
      </c>
      <c r="O697" t="s">
        <v>25</v>
      </c>
      <c r="P697" t="s">
        <v>23</v>
      </c>
    </row>
    <row r="698" spans="1:16" x14ac:dyDescent="0.3">
      <c r="A698" t="s">
        <v>728</v>
      </c>
      <c r="B698" t="s">
        <v>31</v>
      </c>
      <c r="C698" t="s">
        <v>27</v>
      </c>
      <c r="D698" t="s">
        <v>1033</v>
      </c>
      <c r="E698" t="s">
        <v>19</v>
      </c>
      <c r="F698" t="s">
        <v>27</v>
      </c>
      <c r="G698">
        <v>9310</v>
      </c>
      <c r="H698">
        <v>0</v>
      </c>
      <c r="I698">
        <v>391</v>
      </c>
      <c r="J698">
        <v>360</v>
      </c>
      <c r="K698">
        <v>0</v>
      </c>
      <c r="L698" t="s">
        <v>20</v>
      </c>
      <c r="M698" t="s">
        <v>21</v>
      </c>
      <c r="N698">
        <v>9310</v>
      </c>
      <c r="O698" t="s">
        <v>22</v>
      </c>
      <c r="P698" t="s">
        <v>32</v>
      </c>
    </row>
    <row r="699" spans="1:16" x14ac:dyDescent="0.3">
      <c r="A699" t="s">
        <v>729</v>
      </c>
      <c r="B699" t="s">
        <v>31</v>
      </c>
      <c r="C699" t="s">
        <v>18</v>
      </c>
      <c r="D699" t="s">
        <v>1035</v>
      </c>
      <c r="E699" t="s">
        <v>19</v>
      </c>
      <c r="F699" t="s">
        <v>18</v>
      </c>
      <c r="G699">
        <v>3488</v>
      </c>
      <c r="H699">
        <v>1046</v>
      </c>
      <c r="I699">
        <v>370</v>
      </c>
      <c r="J699">
        <v>120</v>
      </c>
      <c r="K699">
        <v>0</v>
      </c>
      <c r="L699" t="s">
        <v>20</v>
      </c>
      <c r="M699" t="s">
        <v>53</v>
      </c>
      <c r="N699">
        <v>4534</v>
      </c>
      <c r="O699" t="s">
        <v>35</v>
      </c>
      <c r="P699" t="s">
        <v>32</v>
      </c>
    </row>
    <row r="700" spans="1:16" x14ac:dyDescent="0.3">
      <c r="A700" t="s">
        <v>730</v>
      </c>
      <c r="B700" t="s">
        <v>31</v>
      </c>
      <c r="C700" t="s">
        <v>18</v>
      </c>
      <c r="D700" t="s">
        <v>1032</v>
      </c>
      <c r="E700" t="s">
        <v>28</v>
      </c>
      <c r="F700" t="s">
        <v>18</v>
      </c>
      <c r="G700">
        <v>4836</v>
      </c>
      <c r="H700">
        <v>0</v>
      </c>
      <c r="I700">
        <v>622</v>
      </c>
      <c r="J700">
        <v>120</v>
      </c>
      <c r="K700">
        <v>1</v>
      </c>
      <c r="L700" t="s">
        <v>29</v>
      </c>
      <c r="M700" t="s">
        <v>53</v>
      </c>
      <c r="N700">
        <v>4836</v>
      </c>
      <c r="O700" t="s">
        <v>35</v>
      </c>
      <c r="P700" t="s">
        <v>23</v>
      </c>
    </row>
    <row r="701" spans="1:16" x14ac:dyDescent="0.3">
      <c r="A701" t="s">
        <v>731</v>
      </c>
      <c r="B701" t="s">
        <v>31</v>
      </c>
      <c r="C701" t="s">
        <v>18</v>
      </c>
      <c r="D701" t="s">
        <v>1035</v>
      </c>
      <c r="E701" t="s">
        <v>19</v>
      </c>
      <c r="F701" t="s">
        <v>18</v>
      </c>
      <c r="G701">
        <v>16357</v>
      </c>
      <c r="H701">
        <v>6790</v>
      </c>
      <c r="I701">
        <v>488</v>
      </c>
      <c r="J701">
        <v>360</v>
      </c>
      <c r="K701">
        <v>1</v>
      </c>
      <c r="L701" t="s">
        <v>29</v>
      </c>
      <c r="M701" t="s">
        <v>21</v>
      </c>
      <c r="N701">
        <v>23147</v>
      </c>
      <c r="O701" t="s">
        <v>25</v>
      </c>
      <c r="P701" t="s">
        <v>23</v>
      </c>
    </row>
    <row r="702" spans="1:16" x14ac:dyDescent="0.3">
      <c r="A702" t="s">
        <v>732</v>
      </c>
      <c r="B702" t="s">
        <v>17</v>
      </c>
      <c r="C702" t="s">
        <v>27</v>
      </c>
      <c r="D702" t="s">
        <v>1032</v>
      </c>
      <c r="E702" t="s">
        <v>19</v>
      </c>
      <c r="F702" t="s">
        <v>18</v>
      </c>
      <c r="G702">
        <v>4864</v>
      </c>
      <c r="H702">
        <v>0</v>
      </c>
      <c r="I702">
        <v>657</v>
      </c>
      <c r="J702">
        <v>180</v>
      </c>
      <c r="K702">
        <v>0</v>
      </c>
      <c r="L702" t="s">
        <v>20</v>
      </c>
      <c r="M702" t="s">
        <v>53</v>
      </c>
      <c r="N702">
        <v>4864</v>
      </c>
      <c r="O702" t="s">
        <v>35</v>
      </c>
      <c r="P702" t="s">
        <v>32</v>
      </c>
    </row>
    <row r="703" spans="1:16" x14ac:dyDescent="0.3">
      <c r="A703" t="s">
        <v>733</v>
      </c>
      <c r="B703" t="s">
        <v>31</v>
      </c>
      <c r="C703" t="s">
        <v>27</v>
      </c>
      <c r="D703" t="s">
        <v>1035</v>
      </c>
      <c r="E703" t="s">
        <v>28</v>
      </c>
      <c r="F703" t="s">
        <v>27</v>
      </c>
      <c r="G703">
        <v>7592</v>
      </c>
      <c r="H703">
        <v>0</v>
      </c>
      <c r="I703">
        <v>95</v>
      </c>
      <c r="J703">
        <v>120</v>
      </c>
      <c r="K703">
        <v>1</v>
      </c>
      <c r="L703" t="s">
        <v>34</v>
      </c>
      <c r="M703" t="s">
        <v>21</v>
      </c>
      <c r="N703">
        <v>7592</v>
      </c>
      <c r="O703" t="s">
        <v>22</v>
      </c>
      <c r="P703" t="s">
        <v>23</v>
      </c>
    </row>
    <row r="704" spans="1:16" x14ac:dyDescent="0.3">
      <c r="A704" t="s">
        <v>734</v>
      </c>
      <c r="B704" t="s">
        <v>31</v>
      </c>
      <c r="C704" t="s">
        <v>27</v>
      </c>
      <c r="D704" t="s">
        <v>1032</v>
      </c>
      <c r="E704" t="s">
        <v>19</v>
      </c>
      <c r="F704" t="s">
        <v>18</v>
      </c>
      <c r="G704">
        <v>16885</v>
      </c>
      <c r="H704">
        <v>5557</v>
      </c>
      <c r="I704">
        <v>348</v>
      </c>
      <c r="J704">
        <v>240</v>
      </c>
      <c r="K704">
        <v>0</v>
      </c>
      <c r="L704" t="s">
        <v>34</v>
      </c>
      <c r="M704" t="s">
        <v>21</v>
      </c>
      <c r="N704">
        <v>22442</v>
      </c>
      <c r="O704" t="s">
        <v>25</v>
      </c>
      <c r="P704" t="s">
        <v>32</v>
      </c>
    </row>
    <row r="705" spans="1:16" x14ac:dyDescent="0.3">
      <c r="A705" t="s">
        <v>735</v>
      </c>
      <c r="B705" t="s">
        <v>17</v>
      </c>
      <c r="C705" t="s">
        <v>18</v>
      </c>
      <c r="D705" t="s">
        <v>1033</v>
      </c>
      <c r="E705" t="s">
        <v>19</v>
      </c>
      <c r="F705" t="s">
        <v>27</v>
      </c>
      <c r="G705">
        <v>12766</v>
      </c>
      <c r="H705">
        <v>0</v>
      </c>
      <c r="I705">
        <v>256</v>
      </c>
      <c r="J705">
        <v>120</v>
      </c>
      <c r="K705">
        <v>1</v>
      </c>
      <c r="L705" t="s">
        <v>34</v>
      </c>
      <c r="M705" t="s">
        <v>21</v>
      </c>
      <c r="N705">
        <v>12766</v>
      </c>
      <c r="O705" t="s">
        <v>25</v>
      </c>
      <c r="P705" t="s">
        <v>23</v>
      </c>
    </row>
    <row r="706" spans="1:16" x14ac:dyDescent="0.3">
      <c r="A706" t="s">
        <v>736</v>
      </c>
      <c r="B706" t="s">
        <v>31</v>
      </c>
      <c r="C706" t="s">
        <v>27</v>
      </c>
      <c r="D706" t="s">
        <v>1032</v>
      </c>
      <c r="E706" t="s">
        <v>28</v>
      </c>
      <c r="F706" t="s">
        <v>27</v>
      </c>
      <c r="G706">
        <v>15219</v>
      </c>
      <c r="H706">
        <v>0</v>
      </c>
      <c r="I706">
        <v>157</v>
      </c>
      <c r="J706">
        <v>300</v>
      </c>
      <c r="K706">
        <v>0</v>
      </c>
      <c r="L706" t="s">
        <v>20</v>
      </c>
      <c r="M706" t="s">
        <v>21</v>
      </c>
      <c r="N706">
        <v>15219</v>
      </c>
      <c r="O706" t="s">
        <v>25</v>
      </c>
      <c r="P706" t="s">
        <v>32</v>
      </c>
    </row>
    <row r="707" spans="1:16" x14ac:dyDescent="0.3">
      <c r="A707" t="s">
        <v>737</v>
      </c>
      <c r="B707" t="s">
        <v>31</v>
      </c>
      <c r="C707" t="s">
        <v>18</v>
      </c>
      <c r="D707" t="s">
        <v>1034</v>
      </c>
      <c r="E707" t="s">
        <v>19</v>
      </c>
      <c r="F707" t="s">
        <v>18</v>
      </c>
      <c r="G707">
        <v>16787</v>
      </c>
      <c r="H707">
        <v>0</v>
      </c>
      <c r="I707">
        <v>294</v>
      </c>
      <c r="J707">
        <v>300</v>
      </c>
      <c r="K707">
        <v>1</v>
      </c>
      <c r="L707" t="s">
        <v>29</v>
      </c>
      <c r="M707" t="s">
        <v>21</v>
      </c>
      <c r="N707">
        <v>16787</v>
      </c>
      <c r="O707" t="s">
        <v>25</v>
      </c>
      <c r="P707" t="s">
        <v>23</v>
      </c>
    </row>
    <row r="708" spans="1:16" x14ac:dyDescent="0.3">
      <c r="A708" t="s">
        <v>738</v>
      </c>
      <c r="B708" t="s">
        <v>31</v>
      </c>
      <c r="C708" t="s">
        <v>18</v>
      </c>
      <c r="D708" t="s">
        <v>1035</v>
      </c>
      <c r="E708" t="s">
        <v>19</v>
      </c>
      <c r="F708" t="s">
        <v>18</v>
      </c>
      <c r="G708">
        <v>13388</v>
      </c>
      <c r="H708">
        <v>0</v>
      </c>
      <c r="I708">
        <v>416</v>
      </c>
      <c r="J708">
        <v>120</v>
      </c>
      <c r="K708">
        <v>1</v>
      </c>
      <c r="L708" t="s">
        <v>20</v>
      </c>
      <c r="M708" t="s">
        <v>21</v>
      </c>
      <c r="N708">
        <v>13388</v>
      </c>
      <c r="O708" t="s">
        <v>25</v>
      </c>
      <c r="P708" t="s">
        <v>23</v>
      </c>
    </row>
    <row r="709" spans="1:16" x14ac:dyDescent="0.3">
      <c r="A709" t="s">
        <v>739</v>
      </c>
      <c r="B709" t="s">
        <v>31</v>
      </c>
      <c r="C709" t="s">
        <v>27</v>
      </c>
      <c r="D709" t="s">
        <v>1033</v>
      </c>
      <c r="E709" t="s">
        <v>28</v>
      </c>
      <c r="F709" t="s">
        <v>18</v>
      </c>
      <c r="G709">
        <v>2472</v>
      </c>
      <c r="H709">
        <v>0</v>
      </c>
      <c r="I709">
        <v>340</v>
      </c>
      <c r="J709">
        <v>180</v>
      </c>
      <c r="K709">
        <v>1</v>
      </c>
      <c r="L709" t="s">
        <v>29</v>
      </c>
      <c r="M709" t="s">
        <v>53</v>
      </c>
      <c r="N709">
        <v>2472</v>
      </c>
      <c r="O709" t="s">
        <v>35</v>
      </c>
      <c r="P709" t="s">
        <v>23</v>
      </c>
    </row>
    <row r="710" spans="1:16" x14ac:dyDescent="0.3">
      <c r="A710" t="s">
        <v>740</v>
      </c>
      <c r="B710" t="s">
        <v>17</v>
      </c>
      <c r="C710" t="s">
        <v>27</v>
      </c>
      <c r="D710" t="s">
        <v>1033</v>
      </c>
      <c r="E710" t="s">
        <v>19</v>
      </c>
      <c r="F710" t="s">
        <v>18</v>
      </c>
      <c r="G710">
        <v>2204</v>
      </c>
      <c r="H710">
        <v>3384</v>
      </c>
      <c r="I710">
        <v>153</v>
      </c>
      <c r="J710">
        <v>120</v>
      </c>
      <c r="K710">
        <v>0</v>
      </c>
      <c r="L710" t="s">
        <v>20</v>
      </c>
      <c r="M710" t="s">
        <v>53</v>
      </c>
      <c r="N710">
        <v>5588</v>
      </c>
      <c r="O710" t="s">
        <v>22</v>
      </c>
      <c r="P710" t="s">
        <v>32</v>
      </c>
    </row>
    <row r="711" spans="1:16" x14ac:dyDescent="0.3">
      <c r="A711" t="s">
        <v>741</v>
      </c>
      <c r="B711" t="s">
        <v>31</v>
      </c>
      <c r="C711" t="s">
        <v>18</v>
      </c>
      <c r="D711" t="s">
        <v>1032</v>
      </c>
      <c r="E711" t="s">
        <v>19</v>
      </c>
      <c r="F711" t="s">
        <v>27</v>
      </c>
      <c r="G711">
        <v>16448</v>
      </c>
      <c r="H711">
        <v>4434</v>
      </c>
      <c r="I711">
        <v>431</v>
      </c>
      <c r="J711">
        <v>180</v>
      </c>
      <c r="K711">
        <v>0</v>
      </c>
      <c r="L711" t="s">
        <v>34</v>
      </c>
      <c r="M711" t="s">
        <v>21</v>
      </c>
      <c r="N711">
        <v>20882</v>
      </c>
      <c r="O711" t="s">
        <v>25</v>
      </c>
      <c r="P711" t="s">
        <v>32</v>
      </c>
    </row>
    <row r="712" spans="1:16" x14ac:dyDescent="0.3">
      <c r="A712" t="s">
        <v>742</v>
      </c>
      <c r="B712" t="s">
        <v>31</v>
      </c>
      <c r="C712" t="s">
        <v>18</v>
      </c>
      <c r="D712" t="s">
        <v>1034</v>
      </c>
      <c r="E712" t="s">
        <v>19</v>
      </c>
      <c r="F712" t="s">
        <v>18</v>
      </c>
      <c r="G712">
        <v>7714</v>
      </c>
      <c r="H712">
        <v>3640</v>
      </c>
      <c r="I712">
        <v>433</v>
      </c>
      <c r="J712">
        <v>240</v>
      </c>
      <c r="K712">
        <v>1</v>
      </c>
      <c r="L712" t="s">
        <v>34</v>
      </c>
      <c r="M712" t="s">
        <v>21</v>
      </c>
      <c r="N712">
        <v>11354</v>
      </c>
      <c r="O712" t="s">
        <v>25</v>
      </c>
      <c r="P712" t="s">
        <v>23</v>
      </c>
    </row>
    <row r="713" spans="1:16" x14ac:dyDescent="0.3">
      <c r="A713" t="s">
        <v>743</v>
      </c>
      <c r="B713" t="s">
        <v>17</v>
      </c>
      <c r="C713" t="s">
        <v>18</v>
      </c>
      <c r="D713" t="s">
        <v>1033</v>
      </c>
      <c r="E713" t="s">
        <v>28</v>
      </c>
      <c r="F713" t="s">
        <v>18</v>
      </c>
      <c r="G713">
        <v>12237</v>
      </c>
      <c r="H713">
        <v>0</v>
      </c>
      <c r="I713">
        <v>694</v>
      </c>
      <c r="J713">
        <v>240</v>
      </c>
      <c r="K713">
        <v>0</v>
      </c>
      <c r="L713" t="s">
        <v>34</v>
      </c>
      <c r="M713" t="s">
        <v>21</v>
      </c>
      <c r="N713">
        <v>12237</v>
      </c>
      <c r="O713" t="s">
        <v>25</v>
      </c>
      <c r="P713" t="s">
        <v>32</v>
      </c>
    </row>
    <row r="714" spans="1:16" x14ac:dyDescent="0.3">
      <c r="A714" t="s">
        <v>744</v>
      </c>
      <c r="B714" t="s">
        <v>31</v>
      </c>
      <c r="C714" t="s">
        <v>18</v>
      </c>
      <c r="D714" t="s">
        <v>1034</v>
      </c>
      <c r="E714" t="s">
        <v>28</v>
      </c>
      <c r="F714" t="s">
        <v>18</v>
      </c>
      <c r="G714">
        <v>6986</v>
      </c>
      <c r="H714">
        <v>8833</v>
      </c>
      <c r="I714">
        <v>571</v>
      </c>
      <c r="J714">
        <v>240</v>
      </c>
      <c r="K714">
        <v>1</v>
      </c>
      <c r="L714" t="s">
        <v>29</v>
      </c>
      <c r="M714" t="s">
        <v>21</v>
      </c>
      <c r="N714">
        <v>15819</v>
      </c>
      <c r="O714" t="s">
        <v>25</v>
      </c>
      <c r="P714" t="s">
        <v>23</v>
      </c>
    </row>
    <row r="715" spans="1:16" x14ac:dyDescent="0.3">
      <c r="A715" t="s">
        <v>745</v>
      </c>
      <c r="B715" t="s">
        <v>17</v>
      </c>
      <c r="C715" t="s">
        <v>27</v>
      </c>
      <c r="D715" t="s">
        <v>1032</v>
      </c>
      <c r="E715" t="s">
        <v>28</v>
      </c>
      <c r="F715" t="s">
        <v>27</v>
      </c>
      <c r="G715">
        <v>17024</v>
      </c>
      <c r="H715">
        <v>4896</v>
      </c>
      <c r="I715">
        <v>647</v>
      </c>
      <c r="J715">
        <v>120</v>
      </c>
      <c r="K715">
        <v>1</v>
      </c>
      <c r="L715" t="s">
        <v>20</v>
      </c>
      <c r="M715" t="s">
        <v>21</v>
      </c>
      <c r="N715">
        <v>21920</v>
      </c>
      <c r="O715" t="s">
        <v>25</v>
      </c>
      <c r="P715" t="s">
        <v>23</v>
      </c>
    </row>
    <row r="716" spans="1:16" x14ac:dyDescent="0.3">
      <c r="A716" t="s">
        <v>746</v>
      </c>
      <c r="B716" t="s">
        <v>31</v>
      </c>
      <c r="C716" t="s">
        <v>18</v>
      </c>
      <c r="D716" t="s">
        <v>1035</v>
      </c>
      <c r="E716" t="s">
        <v>19</v>
      </c>
      <c r="F716" t="s">
        <v>27</v>
      </c>
      <c r="G716">
        <v>15427</v>
      </c>
      <c r="H716">
        <v>0</v>
      </c>
      <c r="I716">
        <v>433</v>
      </c>
      <c r="J716">
        <v>240</v>
      </c>
      <c r="K716">
        <v>1</v>
      </c>
      <c r="L716" t="s">
        <v>20</v>
      </c>
      <c r="M716" t="s">
        <v>21</v>
      </c>
      <c r="N716">
        <v>15427</v>
      </c>
      <c r="O716" t="s">
        <v>25</v>
      </c>
      <c r="P716" t="s">
        <v>23</v>
      </c>
    </row>
    <row r="717" spans="1:16" x14ac:dyDescent="0.3">
      <c r="A717" t="s">
        <v>747</v>
      </c>
      <c r="B717" t="s">
        <v>17</v>
      </c>
      <c r="C717" t="s">
        <v>27</v>
      </c>
      <c r="D717" t="s">
        <v>1035</v>
      </c>
      <c r="E717" t="s">
        <v>28</v>
      </c>
      <c r="F717" t="s">
        <v>18</v>
      </c>
      <c r="G717">
        <v>20635</v>
      </c>
      <c r="H717">
        <v>1174</v>
      </c>
      <c r="I717">
        <v>574</v>
      </c>
      <c r="J717">
        <v>360</v>
      </c>
      <c r="K717">
        <v>1</v>
      </c>
      <c r="L717" t="s">
        <v>29</v>
      </c>
      <c r="M717" t="s">
        <v>21</v>
      </c>
      <c r="N717">
        <v>21809</v>
      </c>
      <c r="O717" t="s">
        <v>25</v>
      </c>
      <c r="P717" t="s">
        <v>23</v>
      </c>
    </row>
    <row r="718" spans="1:16" x14ac:dyDescent="0.3">
      <c r="A718" t="s">
        <v>748</v>
      </c>
      <c r="B718" t="s">
        <v>31</v>
      </c>
      <c r="C718" t="s">
        <v>27</v>
      </c>
      <c r="D718" t="s">
        <v>1035</v>
      </c>
      <c r="E718" t="s">
        <v>28</v>
      </c>
      <c r="F718" t="s">
        <v>27</v>
      </c>
      <c r="G718">
        <v>11888</v>
      </c>
      <c r="H718">
        <v>4973</v>
      </c>
      <c r="I718">
        <v>75</v>
      </c>
      <c r="J718">
        <v>180</v>
      </c>
      <c r="K718">
        <v>1</v>
      </c>
      <c r="L718" t="s">
        <v>29</v>
      </c>
      <c r="M718" t="s">
        <v>21</v>
      </c>
      <c r="N718">
        <v>16861</v>
      </c>
      <c r="O718" t="s">
        <v>25</v>
      </c>
      <c r="P718" t="s">
        <v>23</v>
      </c>
    </row>
    <row r="719" spans="1:16" x14ac:dyDescent="0.3">
      <c r="A719" t="s">
        <v>749</v>
      </c>
      <c r="B719" t="s">
        <v>17</v>
      </c>
      <c r="C719" t="s">
        <v>27</v>
      </c>
      <c r="D719" t="s">
        <v>1034</v>
      </c>
      <c r="E719" t="s">
        <v>28</v>
      </c>
      <c r="F719" t="s">
        <v>18</v>
      </c>
      <c r="G719">
        <v>10557</v>
      </c>
      <c r="H719">
        <v>0</v>
      </c>
      <c r="I719">
        <v>171</v>
      </c>
      <c r="J719">
        <v>120</v>
      </c>
      <c r="K719">
        <v>1</v>
      </c>
      <c r="L719" t="s">
        <v>34</v>
      </c>
      <c r="M719" t="s">
        <v>21</v>
      </c>
      <c r="N719">
        <v>10557</v>
      </c>
      <c r="O719" t="s">
        <v>25</v>
      </c>
      <c r="P719" t="s">
        <v>23</v>
      </c>
    </row>
    <row r="720" spans="1:16" x14ac:dyDescent="0.3">
      <c r="A720" t="s">
        <v>750</v>
      </c>
      <c r="B720" t="s">
        <v>17</v>
      </c>
      <c r="C720" t="s">
        <v>27</v>
      </c>
      <c r="D720" t="s">
        <v>1033</v>
      </c>
      <c r="E720" t="s">
        <v>28</v>
      </c>
      <c r="F720" t="s">
        <v>27</v>
      </c>
      <c r="G720">
        <v>11419</v>
      </c>
      <c r="H720">
        <v>12709</v>
      </c>
      <c r="I720">
        <v>245</v>
      </c>
      <c r="J720">
        <v>360</v>
      </c>
      <c r="K720">
        <v>0</v>
      </c>
      <c r="L720" t="s">
        <v>34</v>
      </c>
      <c r="M720" t="s">
        <v>21</v>
      </c>
      <c r="N720">
        <v>24128</v>
      </c>
      <c r="O720" t="s">
        <v>25</v>
      </c>
      <c r="P720" t="s">
        <v>32</v>
      </c>
    </row>
    <row r="721" spans="1:16" x14ac:dyDescent="0.3">
      <c r="A721" t="s">
        <v>751</v>
      </c>
      <c r="B721" t="s">
        <v>31</v>
      </c>
      <c r="C721" t="s">
        <v>18</v>
      </c>
      <c r="D721" t="s">
        <v>1032</v>
      </c>
      <c r="E721" t="s">
        <v>28</v>
      </c>
      <c r="F721" t="s">
        <v>27</v>
      </c>
      <c r="G721">
        <v>14732</v>
      </c>
      <c r="H721">
        <v>0</v>
      </c>
      <c r="I721">
        <v>533</v>
      </c>
      <c r="J721">
        <v>360</v>
      </c>
      <c r="K721">
        <v>0</v>
      </c>
      <c r="L721" t="s">
        <v>20</v>
      </c>
      <c r="M721" t="s">
        <v>21</v>
      </c>
      <c r="N721">
        <v>14732</v>
      </c>
      <c r="O721" t="s">
        <v>25</v>
      </c>
      <c r="P721" t="s">
        <v>32</v>
      </c>
    </row>
    <row r="722" spans="1:16" x14ac:dyDescent="0.3">
      <c r="A722" t="s">
        <v>752</v>
      </c>
      <c r="B722" t="s">
        <v>31</v>
      </c>
      <c r="C722" t="s">
        <v>18</v>
      </c>
      <c r="D722" t="s">
        <v>1033</v>
      </c>
      <c r="E722" t="s">
        <v>19</v>
      </c>
      <c r="F722" t="s">
        <v>27</v>
      </c>
      <c r="G722">
        <v>9158</v>
      </c>
      <c r="H722">
        <v>8951</v>
      </c>
      <c r="I722">
        <v>522</v>
      </c>
      <c r="J722">
        <v>240</v>
      </c>
      <c r="K722">
        <v>0</v>
      </c>
      <c r="L722" t="s">
        <v>29</v>
      </c>
      <c r="M722" t="s">
        <v>21</v>
      </c>
      <c r="N722">
        <v>18109</v>
      </c>
      <c r="O722" t="s">
        <v>25</v>
      </c>
      <c r="P722" t="s">
        <v>32</v>
      </c>
    </row>
    <row r="723" spans="1:16" x14ac:dyDescent="0.3">
      <c r="A723" t="s">
        <v>753</v>
      </c>
      <c r="B723" t="s">
        <v>17</v>
      </c>
      <c r="C723" t="s">
        <v>27</v>
      </c>
      <c r="D723" t="s">
        <v>1035</v>
      </c>
      <c r="E723" t="s">
        <v>19</v>
      </c>
      <c r="F723" t="s">
        <v>27</v>
      </c>
      <c r="G723">
        <v>16244</v>
      </c>
      <c r="H723">
        <v>0</v>
      </c>
      <c r="I723">
        <v>433</v>
      </c>
      <c r="J723">
        <v>180</v>
      </c>
      <c r="K723">
        <v>1</v>
      </c>
      <c r="L723" t="s">
        <v>20</v>
      </c>
      <c r="M723" t="s">
        <v>21</v>
      </c>
      <c r="N723">
        <v>16244</v>
      </c>
      <c r="O723" t="s">
        <v>25</v>
      </c>
      <c r="P723" t="s">
        <v>23</v>
      </c>
    </row>
    <row r="724" spans="1:16" x14ac:dyDescent="0.3">
      <c r="A724" t="s">
        <v>754</v>
      </c>
      <c r="B724" t="s">
        <v>31</v>
      </c>
      <c r="C724" t="s">
        <v>18</v>
      </c>
      <c r="D724" t="s">
        <v>1035</v>
      </c>
      <c r="E724" t="s">
        <v>28</v>
      </c>
      <c r="F724" t="s">
        <v>27</v>
      </c>
      <c r="G724">
        <v>8888</v>
      </c>
      <c r="H724">
        <v>7367</v>
      </c>
      <c r="I724">
        <v>463</v>
      </c>
      <c r="J724">
        <v>360</v>
      </c>
      <c r="K724">
        <v>1</v>
      </c>
      <c r="L724" t="s">
        <v>34</v>
      </c>
      <c r="M724" t="s">
        <v>21</v>
      </c>
      <c r="N724">
        <v>16255</v>
      </c>
      <c r="O724" t="s">
        <v>25</v>
      </c>
      <c r="P724" t="s">
        <v>23</v>
      </c>
    </row>
    <row r="725" spans="1:16" x14ac:dyDescent="0.3">
      <c r="A725" t="s">
        <v>755</v>
      </c>
      <c r="B725" t="s">
        <v>17</v>
      </c>
      <c r="C725" t="s">
        <v>18</v>
      </c>
      <c r="D725" t="s">
        <v>1033</v>
      </c>
      <c r="E725" t="s">
        <v>19</v>
      </c>
      <c r="F725" t="s">
        <v>27</v>
      </c>
      <c r="G725">
        <v>20118</v>
      </c>
      <c r="H725">
        <v>10819</v>
      </c>
      <c r="I725">
        <v>440</v>
      </c>
      <c r="J725">
        <v>180</v>
      </c>
      <c r="K725">
        <v>0</v>
      </c>
      <c r="L725" t="s">
        <v>20</v>
      </c>
      <c r="M725" t="s">
        <v>21</v>
      </c>
      <c r="N725">
        <v>30937</v>
      </c>
      <c r="O725" t="s">
        <v>25</v>
      </c>
      <c r="P725" t="s">
        <v>32</v>
      </c>
    </row>
    <row r="726" spans="1:16" x14ac:dyDescent="0.3">
      <c r="A726" t="s">
        <v>756</v>
      </c>
      <c r="B726" t="s">
        <v>31</v>
      </c>
      <c r="C726" t="s">
        <v>18</v>
      </c>
      <c r="D726" t="s">
        <v>1035</v>
      </c>
      <c r="E726" t="s">
        <v>19</v>
      </c>
      <c r="F726" t="s">
        <v>27</v>
      </c>
      <c r="G726">
        <v>20161</v>
      </c>
      <c r="H726">
        <v>7897</v>
      </c>
      <c r="I726">
        <v>145</v>
      </c>
      <c r="J726">
        <v>180</v>
      </c>
      <c r="K726">
        <v>1</v>
      </c>
      <c r="L726" t="s">
        <v>34</v>
      </c>
      <c r="M726" t="s">
        <v>21</v>
      </c>
      <c r="N726">
        <v>28058</v>
      </c>
      <c r="O726" t="s">
        <v>25</v>
      </c>
      <c r="P726" t="s">
        <v>23</v>
      </c>
    </row>
    <row r="727" spans="1:16" x14ac:dyDescent="0.3">
      <c r="A727" t="s">
        <v>757</v>
      </c>
      <c r="B727" t="s">
        <v>17</v>
      </c>
      <c r="C727" t="s">
        <v>18</v>
      </c>
      <c r="D727" t="s">
        <v>1035</v>
      </c>
      <c r="E727" t="s">
        <v>19</v>
      </c>
      <c r="F727" t="s">
        <v>18</v>
      </c>
      <c r="G727">
        <v>8020</v>
      </c>
      <c r="H727">
        <v>1638</v>
      </c>
      <c r="I727">
        <v>340</v>
      </c>
      <c r="J727">
        <v>180</v>
      </c>
      <c r="K727">
        <v>1</v>
      </c>
      <c r="L727" t="s">
        <v>34</v>
      </c>
      <c r="M727" t="s">
        <v>21</v>
      </c>
      <c r="N727">
        <v>9658</v>
      </c>
      <c r="O727" t="s">
        <v>22</v>
      </c>
      <c r="P727" t="s">
        <v>23</v>
      </c>
    </row>
    <row r="728" spans="1:16" x14ac:dyDescent="0.3">
      <c r="A728" t="s">
        <v>758</v>
      </c>
      <c r="B728" t="s">
        <v>17</v>
      </c>
      <c r="C728" t="s">
        <v>27</v>
      </c>
      <c r="D728" t="s">
        <v>1034</v>
      </c>
      <c r="E728" t="s">
        <v>28</v>
      </c>
      <c r="F728" t="s">
        <v>18</v>
      </c>
      <c r="G728">
        <v>7130</v>
      </c>
      <c r="H728">
        <v>5853</v>
      </c>
      <c r="I728">
        <v>450</v>
      </c>
      <c r="J728">
        <v>180</v>
      </c>
      <c r="K728">
        <v>0</v>
      </c>
      <c r="L728" t="s">
        <v>20</v>
      </c>
      <c r="M728" t="s">
        <v>21</v>
      </c>
      <c r="N728">
        <v>12983</v>
      </c>
      <c r="O728" t="s">
        <v>25</v>
      </c>
      <c r="P728" t="s">
        <v>32</v>
      </c>
    </row>
    <row r="729" spans="1:16" x14ac:dyDescent="0.3">
      <c r="A729" t="s">
        <v>759</v>
      </c>
      <c r="B729" t="s">
        <v>31</v>
      </c>
      <c r="C729" t="s">
        <v>27</v>
      </c>
      <c r="D729" t="s">
        <v>1034</v>
      </c>
      <c r="E729" t="s">
        <v>28</v>
      </c>
      <c r="F729" t="s">
        <v>18</v>
      </c>
      <c r="G729">
        <v>5757</v>
      </c>
      <c r="H729">
        <v>0</v>
      </c>
      <c r="I729">
        <v>367</v>
      </c>
      <c r="J729">
        <v>300</v>
      </c>
      <c r="K729">
        <v>0</v>
      </c>
      <c r="L729" t="s">
        <v>34</v>
      </c>
      <c r="M729" t="s">
        <v>53</v>
      </c>
      <c r="N729">
        <v>5757</v>
      </c>
      <c r="O729" t="s">
        <v>22</v>
      </c>
      <c r="P729" t="s">
        <v>32</v>
      </c>
    </row>
    <row r="730" spans="1:16" x14ac:dyDescent="0.3">
      <c r="A730" t="s">
        <v>760</v>
      </c>
      <c r="B730" t="s">
        <v>31</v>
      </c>
      <c r="C730" t="s">
        <v>18</v>
      </c>
      <c r="D730" t="s">
        <v>1032</v>
      </c>
      <c r="E730" t="s">
        <v>19</v>
      </c>
      <c r="F730" t="s">
        <v>27</v>
      </c>
      <c r="G730">
        <v>10525</v>
      </c>
      <c r="H730">
        <v>0</v>
      </c>
      <c r="I730">
        <v>196</v>
      </c>
      <c r="J730">
        <v>300</v>
      </c>
      <c r="K730">
        <v>1</v>
      </c>
      <c r="L730" t="s">
        <v>29</v>
      </c>
      <c r="M730" t="s">
        <v>21</v>
      </c>
      <c r="N730">
        <v>10525</v>
      </c>
      <c r="O730" t="s">
        <v>25</v>
      </c>
      <c r="P730" t="s">
        <v>23</v>
      </c>
    </row>
    <row r="731" spans="1:16" x14ac:dyDescent="0.3">
      <c r="A731" t="s">
        <v>761</v>
      </c>
      <c r="B731" t="s">
        <v>17</v>
      </c>
      <c r="C731" t="s">
        <v>27</v>
      </c>
      <c r="D731" t="s">
        <v>1035</v>
      </c>
      <c r="E731" t="s">
        <v>28</v>
      </c>
      <c r="F731" t="s">
        <v>27</v>
      </c>
      <c r="G731">
        <v>20378</v>
      </c>
      <c r="H731">
        <v>0</v>
      </c>
      <c r="I731">
        <v>344</v>
      </c>
      <c r="J731">
        <v>300</v>
      </c>
      <c r="K731">
        <v>1</v>
      </c>
      <c r="L731" t="s">
        <v>34</v>
      </c>
      <c r="M731" t="s">
        <v>21</v>
      </c>
      <c r="N731">
        <v>20378</v>
      </c>
      <c r="O731" t="s">
        <v>25</v>
      </c>
      <c r="P731" t="s">
        <v>23</v>
      </c>
    </row>
    <row r="732" spans="1:16" x14ac:dyDescent="0.3">
      <c r="A732" t="s">
        <v>762</v>
      </c>
      <c r="B732" t="s">
        <v>31</v>
      </c>
      <c r="C732" t="s">
        <v>27</v>
      </c>
      <c r="D732" t="s">
        <v>1033</v>
      </c>
      <c r="E732" t="s">
        <v>28</v>
      </c>
      <c r="F732" t="s">
        <v>18</v>
      </c>
      <c r="G732">
        <v>7384</v>
      </c>
      <c r="H732">
        <v>10620</v>
      </c>
      <c r="I732">
        <v>518</v>
      </c>
      <c r="J732">
        <v>300</v>
      </c>
      <c r="K732">
        <v>0</v>
      </c>
      <c r="L732" t="s">
        <v>20</v>
      </c>
      <c r="M732" t="s">
        <v>21</v>
      </c>
      <c r="N732">
        <v>18004</v>
      </c>
      <c r="O732" t="s">
        <v>25</v>
      </c>
      <c r="P732" t="s">
        <v>32</v>
      </c>
    </row>
    <row r="733" spans="1:16" x14ac:dyDescent="0.3">
      <c r="A733" t="s">
        <v>763</v>
      </c>
      <c r="B733" t="s">
        <v>17</v>
      </c>
      <c r="C733" t="s">
        <v>27</v>
      </c>
      <c r="D733" t="s">
        <v>1034</v>
      </c>
      <c r="E733" t="s">
        <v>19</v>
      </c>
      <c r="F733" t="s">
        <v>18</v>
      </c>
      <c r="G733">
        <v>10471</v>
      </c>
      <c r="H733">
        <v>14959</v>
      </c>
      <c r="I733">
        <v>118</v>
      </c>
      <c r="J733">
        <v>180</v>
      </c>
      <c r="K733">
        <v>0</v>
      </c>
      <c r="L733" t="s">
        <v>29</v>
      </c>
      <c r="M733" t="s">
        <v>21</v>
      </c>
      <c r="N733">
        <v>25430</v>
      </c>
      <c r="O733" t="s">
        <v>25</v>
      </c>
      <c r="P733" t="s">
        <v>32</v>
      </c>
    </row>
    <row r="734" spans="1:16" x14ac:dyDescent="0.3">
      <c r="A734" t="s">
        <v>764</v>
      </c>
      <c r="B734" t="s">
        <v>17</v>
      </c>
      <c r="C734" t="s">
        <v>27</v>
      </c>
      <c r="D734" t="s">
        <v>1034</v>
      </c>
      <c r="E734" t="s">
        <v>19</v>
      </c>
      <c r="F734" t="s">
        <v>27</v>
      </c>
      <c r="G734">
        <v>14938</v>
      </c>
      <c r="H734">
        <v>0</v>
      </c>
      <c r="I734">
        <v>308</v>
      </c>
      <c r="J734">
        <v>180</v>
      </c>
      <c r="K734">
        <v>1</v>
      </c>
      <c r="L734" t="s">
        <v>29</v>
      </c>
      <c r="M734" t="s">
        <v>21</v>
      </c>
      <c r="N734">
        <v>14938</v>
      </c>
      <c r="O734" t="s">
        <v>25</v>
      </c>
      <c r="P734" t="s">
        <v>23</v>
      </c>
    </row>
    <row r="735" spans="1:16" x14ac:dyDescent="0.3">
      <c r="A735" t="s">
        <v>765</v>
      </c>
      <c r="B735" t="s">
        <v>17</v>
      </c>
      <c r="C735" t="s">
        <v>18</v>
      </c>
      <c r="D735" t="s">
        <v>1035</v>
      </c>
      <c r="E735" t="s">
        <v>28</v>
      </c>
      <c r="F735" t="s">
        <v>27</v>
      </c>
      <c r="G735">
        <v>14585</v>
      </c>
      <c r="H735">
        <v>0</v>
      </c>
      <c r="I735">
        <v>456</v>
      </c>
      <c r="J735">
        <v>120</v>
      </c>
      <c r="K735">
        <v>1</v>
      </c>
      <c r="L735" t="s">
        <v>20</v>
      </c>
      <c r="M735" t="s">
        <v>21</v>
      </c>
      <c r="N735">
        <v>14585</v>
      </c>
      <c r="O735" t="s">
        <v>25</v>
      </c>
      <c r="P735" t="s">
        <v>23</v>
      </c>
    </row>
    <row r="736" spans="1:16" x14ac:dyDescent="0.3">
      <c r="A736" t="s">
        <v>766</v>
      </c>
      <c r="B736" t="s">
        <v>17</v>
      </c>
      <c r="C736" t="s">
        <v>27</v>
      </c>
      <c r="D736" t="s">
        <v>1035</v>
      </c>
      <c r="E736" t="s">
        <v>28</v>
      </c>
      <c r="F736" t="s">
        <v>27</v>
      </c>
      <c r="G736">
        <v>3735</v>
      </c>
      <c r="H736">
        <v>0</v>
      </c>
      <c r="I736">
        <v>498</v>
      </c>
      <c r="J736">
        <v>180</v>
      </c>
      <c r="K736">
        <v>1</v>
      </c>
      <c r="L736" t="s">
        <v>29</v>
      </c>
      <c r="M736" t="s">
        <v>53</v>
      </c>
      <c r="N736">
        <v>3735</v>
      </c>
      <c r="O736" t="s">
        <v>35</v>
      </c>
      <c r="P736" t="s">
        <v>23</v>
      </c>
    </row>
    <row r="737" spans="1:16" x14ac:dyDescent="0.3">
      <c r="A737" t="s">
        <v>767</v>
      </c>
      <c r="B737" t="s">
        <v>17</v>
      </c>
      <c r="C737" t="s">
        <v>18</v>
      </c>
      <c r="D737" t="s">
        <v>1034</v>
      </c>
      <c r="E737" t="s">
        <v>19</v>
      </c>
      <c r="F737" t="s">
        <v>18</v>
      </c>
      <c r="G737">
        <v>11138</v>
      </c>
      <c r="H737">
        <v>2534</v>
      </c>
      <c r="I737">
        <v>222</v>
      </c>
      <c r="J737">
        <v>120</v>
      </c>
      <c r="K737">
        <v>1</v>
      </c>
      <c r="L737" t="s">
        <v>20</v>
      </c>
      <c r="M737" t="s">
        <v>21</v>
      </c>
      <c r="N737">
        <v>13672</v>
      </c>
      <c r="O737" t="s">
        <v>25</v>
      </c>
      <c r="P737" t="s">
        <v>23</v>
      </c>
    </row>
    <row r="738" spans="1:16" x14ac:dyDescent="0.3">
      <c r="A738" t="s">
        <v>768</v>
      </c>
      <c r="B738" t="s">
        <v>31</v>
      </c>
      <c r="C738" t="s">
        <v>18</v>
      </c>
      <c r="D738" t="s">
        <v>1035</v>
      </c>
      <c r="E738" t="s">
        <v>28</v>
      </c>
      <c r="F738" t="s">
        <v>18</v>
      </c>
      <c r="G738">
        <v>8599</v>
      </c>
      <c r="H738">
        <v>0</v>
      </c>
      <c r="I738">
        <v>595</v>
      </c>
      <c r="J738">
        <v>180</v>
      </c>
      <c r="K738">
        <v>1</v>
      </c>
      <c r="L738" t="s">
        <v>20</v>
      </c>
      <c r="M738" t="s">
        <v>21</v>
      </c>
      <c r="N738">
        <v>8599</v>
      </c>
      <c r="O738" t="s">
        <v>22</v>
      </c>
      <c r="P738" t="s">
        <v>23</v>
      </c>
    </row>
    <row r="739" spans="1:16" x14ac:dyDescent="0.3">
      <c r="A739" t="s">
        <v>769</v>
      </c>
      <c r="B739" t="s">
        <v>17</v>
      </c>
      <c r="C739" t="s">
        <v>27</v>
      </c>
      <c r="D739" t="s">
        <v>1032</v>
      </c>
      <c r="E739" t="s">
        <v>28</v>
      </c>
      <c r="F739" t="s">
        <v>18</v>
      </c>
      <c r="G739">
        <v>21101</v>
      </c>
      <c r="H739">
        <v>0</v>
      </c>
      <c r="I739">
        <v>436</v>
      </c>
      <c r="J739">
        <v>180</v>
      </c>
      <c r="K739">
        <v>0</v>
      </c>
      <c r="L739" t="s">
        <v>29</v>
      </c>
      <c r="M739" t="s">
        <v>21</v>
      </c>
      <c r="N739">
        <v>21101</v>
      </c>
      <c r="O739" t="s">
        <v>25</v>
      </c>
      <c r="P739" t="s">
        <v>32</v>
      </c>
    </row>
    <row r="740" spans="1:16" x14ac:dyDescent="0.3">
      <c r="A740" t="s">
        <v>770</v>
      </c>
      <c r="B740" t="s">
        <v>17</v>
      </c>
      <c r="C740" t="s">
        <v>18</v>
      </c>
      <c r="D740" t="s">
        <v>1034</v>
      </c>
      <c r="E740" t="s">
        <v>19</v>
      </c>
      <c r="F740" t="s">
        <v>27</v>
      </c>
      <c r="G740">
        <v>2415</v>
      </c>
      <c r="H740">
        <v>738</v>
      </c>
      <c r="I740">
        <v>246</v>
      </c>
      <c r="J740">
        <v>120</v>
      </c>
      <c r="K740">
        <v>1</v>
      </c>
      <c r="L740" t="s">
        <v>20</v>
      </c>
      <c r="M740" t="s">
        <v>53</v>
      </c>
      <c r="N740">
        <v>3153</v>
      </c>
      <c r="O740" t="s">
        <v>35</v>
      </c>
      <c r="P740" t="s">
        <v>23</v>
      </c>
    </row>
    <row r="741" spans="1:16" x14ac:dyDescent="0.3">
      <c r="A741" t="s">
        <v>771</v>
      </c>
      <c r="B741" t="s">
        <v>17</v>
      </c>
      <c r="C741" t="s">
        <v>18</v>
      </c>
      <c r="D741" t="s">
        <v>1034</v>
      </c>
      <c r="E741" t="s">
        <v>28</v>
      </c>
      <c r="F741" t="s">
        <v>18</v>
      </c>
      <c r="G741">
        <v>12219</v>
      </c>
      <c r="H741">
        <v>0</v>
      </c>
      <c r="I741">
        <v>689</v>
      </c>
      <c r="J741">
        <v>180</v>
      </c>
      <c r="K741">
        <v>0</v>
      </c>
      <c r="L741" t="s">
        <v>29</v>
      </c>
      <c r="M741" t="s">
        <v>21</v>
      </c>
      <c r="N741">
        <v>12219</v>
      </c>
      <c r="O741" t="s">
        <v>25</v>
      </c>
      <c r="P741" t="s">
        <v>32</v>
      </c>
    </row>
    <row r="742" spans="1:16" x14ac:dyDescent="0.3">
      <c r="A742" t="s">
        <v>772</v>
      </c>
      <c r="B742" t="s">
        <v>31</v>
      </c>
      <c r="C742" t="s">
        <v>18</v>
      </c>
      <c r="D742" t="s">
        <v>1033</v>
      </c>
      <c r="E742" t="s">
        <v>19</v>
      </c>
      <c r="F742" t="s">
        <v>18</v>
      </c>
      <c r="G742">
        <v>13184</v>
      </c>
      <c r="H742">
        <v>0</v>
      </c>
      <c r="I742">
        <v>65</v>
      </c>
      <c r="J742">
        <v>300</v>
      </c>
      <c r="K742">
        <v>1</v>
      </c>
      <c r="L742" t="s">
        <v>20</v>
      </c>
      <c r="M742" t="s">
        <v>21</v>
      </c>
      <c r="N742">
        <v>13184</v>
      </c>
      <c r="O742" t="s">
        <v>25</v>
      </c>
      <c r="P742" t="s">
        <v>23</v>
      </c>
    </row>
    <row r="743" spans="1:16" x14ac:dyDescent="0.3">
      <c r="A743" t="s">
        <v>773</v>
      </c>
      <c r="B743" t="s">
        <v>31</v>
      </c>
      <c r="C743" t="s">
        <v>18</v>
      </c>
      <c r="D743" t="s">
        <v>1035</v>
      </c>
      <c r="E743" t="s">
        <v>19</v>
      </c>
      <c r="F743" t="s">
        <v>18</v>
      </c>
      <c r="G743">
        <v>23060</v>
      </c>
      <c r="H743">
        <v>13854</v>
      </c>
      <c r="I743">
        <v>688</v>
      </c>
      <c r="J743">
        <v>240</v>
      </c>
      <c r="K743">
        <v>1</v>
      </c>
      <c r="L743" t="s">
        <v>20</v>
      </c>
      <c r="M743" t="s">
        <v>21</v>
      </c>
      <c r="N743">
        <v>36914</v>
      </c>
      <c r="O743" t="s">
        <v>25</v>
      </c>
      <c r="P743" t="s">
        <v>23</v>
      </c>
    </row>
    <row r="744" spans="1:16" x14ac:dyDescent="0.3">
      <c r="A744" t="s">
        <v>774</v>
      </c>
      <c r="B744" t="s">
        <v>31</v>
      </c>
      <c r="C744" t="s">
        <v>27</v>
      </c>
      <c r="D744" t="s">
        <v>1035</v>
      </c>
      <c r="E744" t="s">
        <v>19</v>
      </c>
      <c r="F744" t="s">
        <v>18</v>
      </c>
      <c r="G744">
        <v>9755</v>
      </c>
      <c r="H744">
        <v>2052</v>
      </c>
      <c r="I744">
        <v>696</v>
      </c>
      <c r="J744">
        <v>300</v>
      </c>
      <c r="K744">
        <v>1</v>
      </c>
      <c r="L744" t="s">
        <v>34</v>
      </c>
      <c r="M744" t="s">
        <v>21</v>
      </c>
      <c r="N744">
        <v>11807</v>
      </c>
      <c r="O744" t="s">
        <v>25</v>
      </c>
      <c r="P744" t="s">
        <v>23</v>
      </c>
    </row>
    <row r="745" spans="1:16" x14ac:dyDescent="0.3">
      <c r="A745" t="s">
        <v>775</v>
      </c>
      <c r="B745" t="s">
        <v>17</v>
      </c>
      <c r="C745" t="s">
        <v>27</v>
      </c>
      <c r="D745" t="s">
        <v>1033</v>
      </c>
      <c r="E745" t="s">
        <v>28</v>
      </c>
      <c r="F745" t="s">
        <v>27</v>
      </c>
      <c r="G745">
        <v>3712</v>
      </c>
      <c r="H745">
        <v>0</v>
      </c>
      <c r="I745">
        <v>673</v>
      </c>
      <c r="J745">
        <v>360</v>
      </c>
      <c r="K745">
        <v>1</v>
      </c>
      <c r="L745" t="s">
        <v>34</v>
      </c>
      <c r="M745" t="s">
        <v>53</v>
      </c>
      <c r="N745">
        <v>3712</v>
      </c>
      <c r="O745" t="s">
        <v>35</v>
      </c>
      <c r="P745" t="s">
        <v>23</v>
      </c>
    </row>
    <row r="746" spans="1:16" x14ac:dyDescent="0.3">
      <c r="A746" t="s">
        <v>776</v>
      </c>
      <c r="B746" t="s">
        <v>17</v>
      </c>
      <c r="C746" t="s">
        <v>18</v>
      </c>
      <c r="D746" t="s">
        <v>1033</v>
      </c>
      <c r="E746" t="s">
        <v>19</v>
      </c>
      <c r="F746" t="s">
        <v>18</v>
      </c>
      <c r="G746">
        <v>11620</v>
      </c>
      <c r="H746">
        <v>4373</v>
      </c>
      <c r="I746">
        <v>299</v>
      </c>
      <c r="J746">
        <v>360</v>
      </c>
      <c r="K746">
        <v>1</v>
      </c>
      <c r="L746" t="s">
        <v>20</v>
      </c>
      <c r="M746" t="s">
        <v>21</v>
      </c>
      <c r="N746">
        <v>15993</v>
      </c>
      <c r="O746" t="s">
        <v>25</v>
      </c>
      <c r="P746" t="s">
        <v>23</v>
      </c>
    </row>
    <row r="747" spans="1:16" x14ac:dyDescent="0.3">
      <c r="A747" t="s">
        <v>777</v>
      </c>
      <c r="B747" t="s">
        <v>31</v>
      </c>
      <c r="C747" t="s">
        <v>27</v>
      </c>
      <c r="D747" t="s">
        <v>1032</v>
      </c>
      <c r="E747" t="s">
        <v>19</v>
      </c>
      <c r="F747" t="s">
        <v>18</v>
      </c>
      <c r="G747">
        <v>13812</v>
      </c>
      <c r="H747">
        <v>0</v>
      </c>
      <c r="I747">
        <v>293</v>
      </c>
      <c r="J747">
        <v>360</v>
      </c>
      <c r="K747">
        <v>0</v>
      </c>
      <c r="L747" t="s">
        <v>29</v>
      </c>
      <c r="M747" t="s">
        <v>21</v>
      </c>
      <c r="N747">
        <v>13812</v>
      </c>
      <c r="O747" t="s">
        <v>25</v>
      </c>
      <c r="P747" t="s">
        <v>32</v>
      </c>
    </row>
    <row r="748" spans="1:16" x14ac:dyDescent="0.3">
      <c r="A748" t="s">
        <v>778</v>
      </c>
      <c r="B748" t="s">
        <v>31</v>
      </c>
      <c r="C748" t="s">
        <v>18</v>
      </c>
      <c r="D748" t="s">
        <v>1032</v>
      </c>
      <c r="E748" t="s">
        <v>28</v>
      </c>
      <c r="F748" t="s">
        <v>18</v>
      </c>
      <c r="G748">
        <v>18567</v>
      </c>
      <c r="H748">
        <v>13472</v>
      </c>
      <c r="I748">
        <v>345</v>
      </c>
      <c r="J748">
        <v>120</v>
      </c>
      <c r="K748">
        <v>1</v>
      </c>
      <c r="L748" t="s">
        <v>34</v>
      </c>
      <c r="M748" t="s">
        <v>21</v>
      </c>
      <c r="N748">
        <v>32039</v>
      </c>
      <c r="O748" t="s">
        <v>25</v>
      </c>
      <c r="P748" t="s">
        <v>23</v>
      </c>
    </row>
    <row r="749" spans="1:16" x14ac:dyDescent="0.3">
      <c r="A749" t="s">
        <v>779</v>
      </c>
      <c r="B749" t="s">
        <v>31</v>
      </c>
      <c r="C749" t="s">
        <v>27</v>
      </c>
      <c r="D749" t="s">
        <v>1033</v>
      </c>
      <c r="E749" t="s">
        <v>19</v>
      </c>
      <c r="F749" t="s">
        <v>18</v>
      </c>
      <c r="G749">
        <v>23290</v>
      </c>
      <c r="H749">
        <v>0</v>
      </c>
      <c r="I749">
        <v>672</v>
      </c>
      <c r="J749">
        <v>300</v>
      </c>
      <c r="K749">
        <v>1</v>
      </c>
      <c r="L749" t="s">
        <v>20</v>
      </c>
      <c r="M749" t="s">
        <v>21</v>
      </c>
      <c r="N749">
        <v>23290</v>
      </c>
      <c r="O749" t="s">
        <v>25</v>
      </c>
      <c r="P749" t="s">
        <v>23</v>
      </c>
    </row>
    <row r="750" spans="1:16" x14ac:dyDescent="0.3">
      <c r="A750" t="s">
        <v>780</v>
      </c>
      <c r="B750" t="s">
        <v>31</v>
      </c>
      <c r="C750" t="s">
        <v>18</v>
      </c>
      <c r="D750" t="s">
        <v>1034</v>
      </c>
      <c r="E750" t="s">
        <v>28</v>
      </c>
      <c r="F750" t="s">
        <v>18</v>
      </c>
      <c r="G750">
        <v>7806</v>
      </c>
      <c r="H750">
        <v>0</v>
      </c>
      <c r="I750">
        <v>259</v>
      </c>
      <c r="J750">
        <v>180</v>
      </c>
      <c r="K750">
        <v>1</v>
      </c>
      <c r="L750" t="s">
        <v>34</v>
      </c>
      <c r="M750" t="s">
        <v>21</v>
      </c>
      <c r="N750">
        <v>7806</v>
      </c>
      <c r="O750" t="s">
        <v>22</v>
      </c>
      <c r="P750" t="s">
        <v>23</v>
      </c>
    </row>
    <row r="751" spans="1:16" x14ac:dyDescent="0.3">
      <c r="A751" t="s">
        <v>781</v>
      </c>
      <c r="B751" t="s">
        <v>17</v>
      </c>
      <c r="C751" t="s">
        <v>18</v>
      </c>
      <c r="D751" t="s">
        <v>1034</v>
      </c>
      <c r="E751" t="s">
        <v>28</v>
      </c>
      <c r="F751" t="s">
        <v>27</v>
      </c>
      <c r="G751">
        <v>11706</v>
      </c>
      <c r="H751">
        <v>0</v>
      </c>
      <c r="I751">
        <v>300</v>
      </c>
      <c r="J751">
        <v>300</v>
      </c>
      <c r="K751">
        <v>1</v>
      </c>
      <c r="L751" t="s">
        <v>20</v>
      </c>
      <c r="M751" t="s">
        <v>21</v>
      </c>
      <c r="N751">
        <v>11706</v>
      </c>
      <c r="O751" t="s">
        <v>25</v>
      </c>
      <c r="P751" t="s">
        <v>23</v>
      </c>
    </row>
    <row r="752" spans="1:16" x14ac:dyDescent="0.3">
      <c r="A752" t="s">
        <v>782</v>
      </c>
      <c r="B752" t="s">
        <v>31</v>
      </c>
      <c r="C752" t="s">
        <v>27</v>
      </c>
      <c r="D752" t="s">
        <v>1035</v>
      </c>
      <c r="E752" t="s">
        <v>19</v>
      </c>
      <c r="F752" t="s">
        <v>27</v>
      </c>
      <c r="G752">
        <v>17267</v>
      </c>
      <c r="H752">
        <v>1810</v>
      </c>
      <c r="I752">
        <v>457</v>
      </c>
      <c r="J752">
        <v>300</v>
      </c>
      <c r="K752">
        <v>1</v>
      </c>
      <c r="L752" t="s">
        <v>29</v>
      </c>
      <c r="M752" t="s">
        <v>21</v>
      </c>
      <c r="N752">
        <v>19077</v>
      </c>
      <c r="O752" t="s">
        <v>25</v>
      </c>
      <c r="P752" t="s">
        <v>23</v>
      </c>
    </row>
    <row r="753" spans="1:16" x14ac:dyDescent="0.3">
      <c r="A753" t="s">
        <v>783</v>
      </c>
      <c r="B753" t="s">
        <v>31</v>
      </c>
      <c r="C753" t="s">
        <v>27</v>
      </c>
      <c r="D753" t="s">
        <v>1033</v>
      </c>
      <c r="E753" t="s">
        <v>28</v>
      </c>
      <c r="F753" t="s">
        <v>18</v>
      </c>
      <c r="G753">
        <v>13998</v>
      </c>
      <c r="H753">
        <v>0</v>
      </c>
      <c r="I753">
        <v>357</v>
      </c>
      <c r="J753">
        <v>360</v>
      </c>
      <c r="K753">
        <v>1</v>
      </c>
      <c r="L753" t="s">
        <v>34</v>
      </c>
      <c r="M753" t="s">
        <v>21</v>
      </c>
      <c r="N753">
        <v>13998</v>
      </c>
      <c r="O753" t="s">
        <v>25</v>
      </c>
      <c r="P753" t="s">
        <v>23</v>
      </c>
    </row>
    <row r="754" spans="1:16" x14ac:dyDescent="0.3">
      <c r="A754" t="s">
        <v>784</v>
      </c>
      <c r="B754" t="s">
        <v>17</v>
      </c>
      <c r="C754" t="s">
        <v>27</v>
      </c>
      <c r="D754" t="s">
        <v>1035</v>
      </c>
      <c r="E754" t="s">
        <v>28</v>
      </c>
      <c r="F754" t="s">
        <v>27</v>
      </c>
      <c r="G754">
        <v>16363</v>
      </c>
      <c r="H754">
        <v>5140</v>
      </c>
      <c r="I754">
        <v>625</v>
      </c>
      <c r="J754">
        <v>360</v>
      </c>
      <c r="K754">
        <v>1</v>
      </c>
      <c r="L754" t="s">
        <v>29</v>
      </c>
      <c r="M754" t="s">
        <v>21</v>
      </c>
      <c r="N754">
        <v>21503</v>
      </c>
      <c r="O754" t="s">
        <v>25</v>
      </c>
      <c r="P754" t="s">
        <v>23</v>
      </c>
    </row>
    <row r="755" spans="1:16" x14ac:dyDescent="0.3">
      <c r="A755" t="s">
        <v>785</v>
      </c>
      <c r="B755" t="s">
        <v>17</v>
      </c>
      <c r="C755" t="s">
        <v>27</v>
      </c>
      <c r="D755" t="s">
        <v>1033</v>
      </c>
      <c r="E755" t="s">
        <v>19</v>
      </c>
      <c r="F755" t="s">
        <v>18</v>
      </c>
      <c r="G755">
        <v>1636</v>
      </c>
      <c r="H755">
        <v>710</v>
      </c>
      <c r="I755">
        <v>553</v>
      </c>
      <c r="J755">
        <v>300</v>
      </c>
      <c r="K755">
        <v>0</v>
      </c>
      <c r="L755" t="s">
        <v>29</v>
      </c>
      <c r="M755" t="s">
        <v>53</v>
      </c>
      <c r="N755">
        <v>2346</v>
      </c>
      <c r="O755" t="s">
        <v>35</v>
      </c>
      <c r="P755" t="s">
        <v>32</v>
      </c>
    </row>
    <row r="756" spans="1:16" x14ac:dyDescent="0.3">
      <c r="A756" t="s">
        <v>786</v>
      </c>
      <c r="B756" t="s">
        <v>31</v>
      </c>
      <c r="C756" t="s">
        <v>27</v>
      </c>
      <c r="D756" t="s">
        <v>1035</v>
      </c>
      <c r="E756" t="s">
        <v>28</v>
      </c>
      <c r="F756" t="s">
        <v>18</v>
      </c>
      <c r="G756">
        <v>14895</v>
      </c>
      <c r="H756">
        <v>0</v>
      </c>
      <c r="I756">
        <v>177</v>
      </c>
      <c r="J756">
        <v>300</v>
      </c>
      <c r="K756">
        <v>0</v>
      </c>
      <c r="L756" t="s">
        <v>20</v>
      </c>
      <c r="M756" t="s">
        <v>21</v>
      </c>
      <c r="N756">
        <v>14895</v>
      </c>
      <c r="O756" t="s">
        <v>25</v>
      </c>
      <c r="P756" t="s">
        <v>32</v>
      </c>
    </row>
    <row r="757" spans="1:16" x14ac:dyDescent="0.3">
      <c r="A757" t="s">
        <v>787</v>
      </c>
      <c r="B757" t="s">
        <v>17</v>
      </c>
      <c r="C757" t="s">
        <v>27</v>
      </c>
      <c r="D757" t="s">
        <v>1032</v>
      </c>
      <c r="E757" t="s">
        <v>28</v>
      </c>
      <c r="F757" t="s">
        <v>27</v>
      </c>
      <c r="G757">
        <v>22307</v>
      </c>
      <c r="H757">
        <v>11780</v>
      </c>
      <c r="I757">
        <v>109</v>
      </c>
      <c r="J757">
        <v>300</v>
      </c>
      <c r="K757">
        <v>0</v>
      </c>
      <c r="L757" t="s">
        <v>34</v>
      </c>
      <c r="M757" t="s">
        <v>21</v>
      </c>
      <c r="N757">
        <v>34087</v>
      </c>
      <c r="O757" t="s">
        <v>25</v>
      </c>
      <c r="P757" t="s">
        <v>32</v>
      </c>
    </row>
    <row r="758" spans="1:16" x14ac:dyDescent="0.3">
      <c r="A758" t="s">
        <v>788</v>
      </c>
      <c r="B758" t="s">
        <v>17</v>
      </c>
      <c r="C758" t="s">
        <v>18</v>
      </c>
      <c r="D758" t="s">
        <v>1035</v>
      </c>
      <c r="E758" t="s">
        <v>19</v>
      </c>
      <c r="F758" t="s">
        <v>27</v>
      </c>
      <c r="G758">
        <v>22175</v>
      </c>
      <c r="H758">
        <v>0</v>
      </c>
      <c r="I758">
        <v>201</v>
      </c>
      <c r="J758">
        <v>240</v>
      </c>
      <c r="K758">
        <v>1</v>
      </c>
      <c r="L758" t="s">
        <v>34</v>
      </c>
      <c r="M758" t="s">
        <v>21</v>
      </c>
      <c r="N758">
        <v>22175</v>
      </c>
      <c r="O758" t="s">
        <v>25</v>
      </c>
      <c r="P758" t="s">
        <v>23</v>
      </c>
    </row>
    <row r="759" spans="1:16" x14ac:dyDescent="0.3">
      <c r="A759" t="s">
        <v>789</v>
      </c>
      <c r="B759" t="s">
        <v>17</v>
      </c>
      <c r="C759" t="s">
        <v>27</v>
      </c>
      <c r="D759" t="s">
        <v>1033</v>
      </c>
      <c r="E759" t="s">
        <v>19</v>
      </c>
      <c r="F759" t="s">
        <v>18</v>
      </c>
      <c r="G759">
        <v>5325</v>
      </c>
      <c r="H759">
        <v>0</v>
      </c>
      <c r="I759">
        <v>443</v>
      </c>
      <c r="J759">
        <v>300</v>
      </c>
      <c r="K759">
        <v>1</v>
      </c>
      <c r="L759" t="s">
        <v>20</v>
      </c>
      <c r="M759" t="s">
        <v>21</v>
      </c>
      <c r="N759">
        <v>5325</v>
      </c>
      <c r="O759" t="s">
        <v>22</v>
      </c>
      <c r="P759" t="s">
        <v>23</v>
      </c>
    </row>
    <row r="760" spans="1:16" x14ac:dyDescent="0.3">
      <c r="A760" t="s">
        <v>790</v>
      </c>
      <c r="B760" t="s">
        <v>17</v>
      </c>
      <c r="C760" t="s">
        <v>27</v>
      </c>
      <c r="D760" t="s">
        <v>1033</v>
      </c>
      <c r="E760" t="s">
        <v>28</v>
      </c>
      <c r="F760" t="s">
        <v>27</v>
      </c>
      <c r="G760">
        <v>24170</v>
      </c>
      <c r="H760">
        <v>5451</v>
      </c>
      <c r="I760">
        <v>650</v>
      </c>
      <c r="J760">
        <v>240</v>
      </c>
      <c r="K760">
        <v>1</v>
      </c>
      <c r="L760" t="s">
        <v>34</v>
      </c>
      <c r="M760" t="s">
        <v>21</v>
      </c>
      <c r="N760">
        <v>29621</v>
      </c>
      <c r="O760" t="s">
        <v>25</v>
      </c>
      <c r="P760" t="s">
        <v>23</v>
      </c>
    </row>
    <row r="761" spans="1:16" x14ac:dyDescent="0.3">
      <c r="A761" t="s">
        <v>791</v>
      </c>
      <c r="B761" t="s">
        <v>17</v>
      </c>
      <c r="C761" t="s">
        <v>18</v>
      </c>
      <c r="D761" t="s">
        <v>1032</v>
      </c>
      <c r="E761" t="s">
        <v>19</v>
      </c>
      <c r="F761" t="s">
        <v>27</v>
      </c>
      <c r="G761">
        <v>8365</v>
      </c>
      <c r="H761">
        <v>12759</v>
      </c>
      <c r="I761">
        <v>365</v>
      </c>
      <c r="J761">
        <v>120</v>
      </c>
      <c r="K761">
        <v>0</v>
      </c>
      <c r="L761" t="s">
        <v>29</v>
      </c>
      <c r="M761" t="s">
        <v>21</v>
      </c>
      <c r="N761">
        <v>21124</v>
      </c>
      <c r="O761" t="s">
        <v>25</v>
      </c>
      <c r="P761" t="s">
        <v>32</v>
      </c>
    </row>
    <row r="762" spans="1:16" x14ac:dyDescent="0.3">
      <c r="A762" t="s">
        <v>792</v>
      </c>
      <c r="B762" t="s">
        <v>17</v>
      </c>
      <c r="C762" t="s">
        <v>18</v>
      </c>
      <c r="D762" t="s">
        <v>1034</v>
      </c>
      <c r="E762" t="s">
        <v>28</v>
      </c>
      <c r="F762" t="s">
        <v>27</v>
      </c>
      <c r="G762">
        <v>22947</v>
      </c>
      <c r="H762">
        <v>5224</v>
      </c>
      <c r="I762">
        <v>224</v>
      </c>
      <c r="J762">
        <v>180</v>
      </c>
      <c r="K762">
        <v>1</v>
      </c>
      <c r="L762" t="s">
        <v>34</v>
      </c>
      <c r="M762" t="s">
        <v>21</v>
      </c>
      <c r="N762">
        <v>28171</v>
      </c>
      <c r="O762" t="s">
        <v>25</v>
      </c>
      <c r="P762" t="s">
        <v>23</v>
      </c>
    </row>
    <row r="763" spans="1:16" x14ac:dyDescent="0.3">
      <c r="A763" t="s">
        <v>793</v>
      </c>
      <c r="B763" t="s">
        <v>17</v>
      </c>
      <c r="C763" t="s">
        <v>18</v>
      </c>
      <c r="D763" t="s">
        <v>1035</v>
      </c>
      <c r="E763" t="s">
        <v>19</v>
      </c>
      <c r="F763" t="s">
        <v>18</v>
      </c>
      <c r="G763">
        <v>16267</v>
      </c>
      <c r="H763">
        <v>0</v>
      </c>
      <c r="I763">
        <v>240</v>
      </c>
      <c r="J763">
        <v>180</v>
      </c>
      <c r="K763">
        <v>1</v>
      </c>
      <c r="L763" t="s">
        <v>20</v>
      </c>
      <c r="M763" t="s">
        <v>21</v>
      </c>
      <c r="N763">
        <v>16267</v>
      </c>
      <c r="O763" t="s">
        <v>25</v>
      </c>
      <c r="P763" t="s">
        <v>23</v>
      </c>
    </row>
    <row r="764" spans="1:16" x14ac:dyDescent="0.3">
      <c r="A764" t="s">
        <v>794</v>
      </c>
      <c r="B764" t="s">
        <v>17</v>
      </c>
      <c r="C764" t="s">
        <v>27</v>
      </c>
      <c r="D764" t="s">
        <v>1035</v>
      </c>
      <c r="E764" t="s">
        <v>28</v>
      </c>
      <c r="F764" t="s">
        <v>18</v>
      </c>
      <c r="G764">
        <v>22354</v>
      </c>
      <c r="H764">
        <v>0</v>
      </c>
      <c r="I764">
        <v>350</v>
      </c>
      <c r="J764">
        <v>120</v>
      </c>
      <c r="K764">
        <v>1</v>
      </c>
      <c r="L764" t="s">
        <v>29</v>
      </c>
      <c r="M764" t="s">
        <v>21</v>
      </c>
      <c r="N764">
        <v>22354</v>
      </c>
      <c r="O764" t="s">
        <v>25</v>
      </c>
      <c r="P764" t="s">
        <v>23</v>
      </c>
    </row>
    <row r="765" spans="1:16" x14ac:dyDescent="0.3">
      <c r="A765" t="s">
        <v>795</v>
      </c>
      <c r="B765" t="s">
        <v>17</v>
      </c>
      <c r="C765" t="s">
        <v>27</v>
      </c>
      <c r="D765" t="s">
        <v>1034</v>
      </c>
      <c r="E765" t="s">
        <v>19</v>
      </c>
      <c r="F765" t="s">
        <v>27</v>
      </c>
      <c r="G765">
        <v>17398</v>
      </c>
      <c r="H765">
        <v>0</v>
      </c>
      <c r="I765">
        <v>59</v>
      </c>
      <c r="J765">
        <v>120</v>
      </c>
      <c r="K765">
        <v>1</v>
      </c>
      <c r="L765" t="s">
        <v>20</v>
      </c>
      <c r="M765" t="s">
        <v>21</v>
      </c>
      <c r="N765">
        <v>17398</v>
      </c>
      <c r="O765" t="s">
        <v>25</v>
      </c>
      <c r="P765" t="s">
        <v>23</v>
      </c>
    </row>
    <row r="766" spans="1:16" x14ac:dyDescent="0.3">
      <c r="A766" t="s">
        <v>796</v>
      </c>
      <c r="B766" t="s">
        <v>17</v>
      </c>
      <c r="C766" t="s">
        <v>18</v>
      </c>
      <c r="D766" t="s">
        <v>1033</v>
      </c>
      <c r="E766" t="s">
        <v>19</v>
      </c>
      <c r="F766" t="s">
        <v>27</v>
      </c>
      <c r="G766">
        <v>21258</v>
      </c>
      <c r="H766">
        <v>9020</v>
      </c>
      <c r="I766">
        <v>547</v>
      </c>
      <c r="J766">
        <v>300</v>
      </c>
      <c r="K766">
        <v>1</v>
      </c>
      <c r="L766" t="s">
        <v>34</v>
      </c>
      <c r="M766" t="s">
        <v>21</v>
      </c>
      <c r="N766">
        <v>30278</v>
      </c>
      <c r="O766" t="s">
        <v>25</v>
      </c>
      <c r="P766" t="s">
        <v>23</v>
      </c>
    </row>
    <row r="767" spans="1:16" x14ac:dyDescent="0.3">
      <c r="A767" t="s">
        <v>797</v>
      </c>
      <c r="B767" t="s">
        <v>31</v>
      </c>
      <c r="C767" t="s">
        <v>27</v>
      </c>
      <c r="D767" t="s">
        <v>1032</v>
      </c>
      <c r="E767" t="s">
        <v>28</v>
      </c>
      <c r="F767" t="s">
        <v>27</v>
      </c>
      <c r="G767">
        <v>9351</v>
      </c>
      <c r="H767">
        <v>6418</v>
      </c>
      <c r="I767">
        <v>437</v>
      </c>
      <c r="J767">
        <v>360</v>
      </c>
      <c r="K767">
        <v>1</v>
      </c>
      <c r="L767" t="s">
        <v>29</v>
      </c>
      <c r="M767" t="s">
        <v>21</v>
      </c>
      <c r="N767">
        <v>15769</v>
      </c>
      <c r="O767" t="s">
        <v>25</v>
      </c>
      <c r="P767" t="s">
        <v>23</v>
      </c>
    </row>
    <row r="768" spans="1:16" x14ac:dyDescent="0.3">
      <c r="A768" t="s">
        <v>798</v>
      </c>
      <c r="B768" t="s">
        <v>31</v>
      </c>
      <c r="C768" t="s">
        <v>18</v>
      </c>
      <c r="D768" t="s">
        <v>1034</v>
      </c>
      <c r="E768" t="s">
        <v>28</v>
      </c>
      <c r="F768" t="s">
        <v>27</v>
      </c>
      <c r="G768">
        <v>6050</v>
      </c>
      <c r="H768">
        <v>0</v>
      </c>
      <c r="I768">
        <v>593</v>
      </c>
      <c r="J768">
        <v>240</v>
      </c>
      <c r="K768">
        <v>0</v>
      </c>
      <c r="L768" t="s">
        <v>20</v>
      </c>
      <c r="M768" t="s">
        <v>53</v>
      </c>
      <c r="N768">
        <v>6050</v>
      </c>
      <c r="O768" t="s">
        <v>22</v>
      </c>
      <c r="P768" t="s">
        <v>32</v>
      </c>
    </row>
    <row r="769" spans="1:16" x14ac:dyDescent="0.3">
      <c r="A769" t="s">
        <v>799</v>
      </c>
      <c r="B769" t="s">
        <v>31</v>
      </c>
      <c r="C769" t="s">
        <v>27</v>
      </c>
      <c r="D769" t="s">
        <v>1035</v>
      </c>
      <c r="E769" t="s">
        <v>28</v>
      </c>
      <c r="F769" t="s">
        <v>18</v>
      </c>
      <c r="G769">
        <v>1602</v>
      </c>
      <c r="H769">
        <v>10954</v>
      </c>
      <c r="I769">
        <v>67</v>
      </c>
      <c r="J769">
        <v>240</v>
      </c>
      <c r="K769">
        <v>0</v>
      </c>
      <c r="L769" t="s">
        <v>34</v>
      </c>
      <c r="M769" t="s">
        <v>21</v>
      </c>
      <c r="N769">
        <v>12556</v>
      </c>
      <c r="O769" t="s">
        <v>25</v>
      </c>
      <c r="P769" t="s">
        <v>32</v>
      </c>
    </row>
    <row r="770" spans="1:16" x14ac:dyDescent="0.3">
      <c r="A770" t="s">
        <v>800</v>
      </c>
      <c r="B770" t="s">
        <v>31</v>
      </c>
      <c r="C770" t="s">
        <v>27</v>
      </c>
      <c r="D770" t="s">
        <v>1033</v>
      </c>
      <c r="E770" t="s">
        <v>28</v>
      </c>
      <c r="F770" t="s">
        <v>27</v>
      </c>
      <c r="G770">
        <v>21573</v>
      </c>
      <c r="H770">
        <v>0</v>
      </c>
      <c r="I770">
        <v>406</v>
      </c>
      <c r="J770">
        <v>300</v>
      </c>
      <c r="K770">
        <v>0</v>
      </c>
      <c r="L770" t="s">
        <v>29</v>
      </c>
      <c r="M770" t="s">
        <v>21</v>
      </c>
      <c r="N770">
        <v>21573</v>
      </c>
      <c r="O770" t="s">
        <v>25</v>
      </c>
      <c r="P770" t="s">
        <v>32</v>
      </c>
    </row>
    <row r="771" spans="1:16" x14ac:dyDescent="0.3">
      <c r="A771" t="s">
        <v>801</v>
      </c>
      <c r="B771" t="s">
        <v>17</v>
      </c>
      <c r="C771" t="s">
        <v>27</v>
      </c>
      <c r="D771" t="s">
        <v>1032</v>
      </c>
      <c r="E771" t="s">
        <v>19</v>
      </c>
      <c r="F771" t="s">
        <v>18</v>
      </c>
      <c r="G771">
        <v>18541</v>
      </c>
      <c r="H771">
        <v>0</v>
      </c>
      <c r="I771">
        <v>180</v>
      </c>
      <c r="J771">
        <v>300</v>
      </c>
      <c r="K771">
        <v>0</v>
      </c>
      <c r="L771" t="s">
        <v>29</v>
      </c>
      <c r="M771" t="s">
        <v>21</v>
      </c>
      <c r="N771">
        <v>18541</v>
      </c>
      <c r="O771" t="s">
        <v>25</v>
      </c>
      <c r="P771" t="s">
        <v>32</v>
      </c>
    </row>
    <row r="772" spans="1:16" x14ac:dyDescent="0.3">
      <c r="A772" t="s">
        <v>802</v>
      </c>
      <c r="B772" t="s">
        <v>31</v>
      </c>
      <c r="C772" t="s">
        <v>18</v>
      </c>
      <c r="D772" t="s">
        <v>1035</v>
      </c>
      <c r="E772" t="s">
        <v>19</v>
      </c>
      <c r="F772" t="s">
        <v>27</v>
      </c>
      <c r="G772">
        <v>23213</v>
      </c>
      <c r="H772">
        <v>0</v>
      </c>
      <c r="I772">
        <v>299</v>
      </c>
      <c r="J772">
        <v>180</v>
      </c>
      <c r="K772">
        <v>1</v>
      </c>
      <c r="L772" t="s">
        <v>34</v>
      </c>
      <c r="M772" t="s">
        <v>21</v>
      </c>
      <c r="N772">
        <v>23213</v>
      </c>
      <c r="O772" t="s">
        <v>25</v>
      </c>
      <c r="P772" t="s">
        <v>23</v>
      </c>
    </row>
    <row r="773" spans="1:16" x14ac:dyDescent="0.3">
      <c r="A773" t="s">
        <v>803</v>
      </c>
      <c r="B773" t="s">
        <v>17</v>
      </c>
      <c r="C773" t="s">
        <v>18</v>
      </c>
      <c r="D773" t="s">
        <v>1035</v>
      </c>
      <c r="E773" t="s">
        <v>19</v>
      </c>
      <c r="F773" t="s">
        <v>18</v>
      </c>
      <c r="G773">
        <v>12198</v>
      </c>
      <c r="H773">
        <v>6783</v>
      </c>
      <c r="I773">
        <v>275</v>
      </c>
      <c r="J773">
        <v>240</v>
      </c>
      <c r="K773">
        <v>1</v>
      </c>
      <c r="L773" t="s">
        <v>34</v>
      </c>
      <c r="M773" t="s">
        <v>21</v>
      </c>
      <c r="N773">
        <v>18981</v>
      </c>
      <c r="O773" t="s">
        <v>25</v>
      </c>
      <c r="P773" t="s">
        <v>23</v>
      </c>
    </row>
    <row r="774" spans="1:16" x14ac:dyDescent="0.3">
      <c r="A774" t="s">
        <v>804</v>
      </c>
      <c r="B774" t="s">
        <v>17</v>
      </c>
      <c r="C774" t="s">
        <v>18</v>
      </c>
      <c r="D774" t="s">
        <v>1035</v>
      </c>
      <c r="E774" t="s">
        <v>19</v>
      </c>
      <c r="F774" t="s">
        <v>27</v>
      </c>
      <c r="G774">
        <v>8833</v>
      </c>
      <c r="H774">
        <v>0</v>
      </c>
      <c r="I774">
        <v>401</v>
      </c>
      <c r="J774">
        <v>300</v>
      </c>
      <c r="K774">
        <v>0</v>
      </c>
      <c r="L774" t="s">
        <v>34</v>
      </c>
      <c r="M774" t="s">
        <v>21</v>
      </c>
      <c r="N774">
        <v>8833</v>
      </c>
      <c r="O774" t="s">
        <v>22</v>
      </c>
      <c r="P774" t="s">
        <v>32</v>
      </c>
    </row>
    <row r="775" spans="1:16" x14ac:dyDescent="0.3">
      <c r="A775" t="s">
        <v>805</v>
      </c>
      <c r="B775" t="s">
        <v>31</v>
      </c>
      <c r="C775" t="s">
        <v>27</v>
      </c>
      <c r="D775" t="s">
        <v>1033</v>
      </c>
      <c r="E775" t="s">
        <v>19</v>
      </c>
      <c r="F775" t="s">
        <v>27</v>
      </c>
      <c r="G775">
        <v>5290</v>
      </c>
      <c r="H775">
        <v>0</v>
      </c>
      <c r="I775">
        <v>164</v>
      </c>
      <c r="J775">
        <v>120</v>
      </c>
      <c r="K775">
        <v>1</v>
      </c>
      <c r="L775" t="s">
        <v>34</v>
      </c>
      <c r="M775" t="s">
        <v>21</v>
      </c>
      <c r="N775">
        <v>5290</v>
      </c>
      <c r="O775" t="s">
        <v>22</v>
      </c>
      <c r="P775" t="s">
        <v>23</v>
      </c>
    </row>
    <row r="776" spans="1:16" x14ac:dyDescent="0.3">
      <c r="A776" t="s">
        <v>806</v>
      </c>
      <c r="B776" t="s">
        <v>17</v>
      </c>
      <c r="C776" t="s">
        <v>18</v>
      </c>
      <c r="D776" t="s">
        <v>1032</v>
      </c>
      <c r="E776" t="s">
        <v>19</v>
      </c>
      <c r="F776" t="s">
        <v>27</v>
      </c>
      <c r="G776">
        <v>13958</v>
      </c>
      <c r="H776">
        <v>0</v>
      </c>
      <c r="I776">
        <v>368</v>
      </c>
      <c r="J776">
        <v>120</v>
      </c>
      <c r="K776">
        <v>1</v>
      </c>
      <c r="L776" t="s">
        <v>20</v>
      </c>
      <c r="M776" t="s">
        <v>21</v>
      </c>
      <c r="N776">
        <v>13958</v>
      </c>
      <c r="O776" t="s">
        <v>25</v>
      </c>
      <c r="P776" t="s">
        <v>23</v>
      </c>
    </row>
    <row r="777" spans="1:16" x14ac:dyDescent="0.3">
      <c r="A777" t="s">
        <v>807</v>
      </c>
      <c r="B777" t="s">
        <v>31</v>
      </c>
      <c r="C777" t="s">
        <v>27</v>
      </c>
      <c r="D777" t="s">
        <v>1032</v>
      </c>
      <c r="E777" t="s">
        <v>28</v>
      </c>
      <c r="F777" t="s">
        <v>18</v>
      </c>
      <c r="G777">
        <v>18531</v>
      </c>
      <c r="H777">
        <v>0</v>
      </c>
      <c r="I777">
        <v>159</v>
      </c>
      <c r="J777">
        <v>300</v>
      </c>
      <c r="K777">
        <v>1</v>
      </c>
      <c r="L777" t="s">
        <v>29</v>
      </c>
      <c r="M777" t="s">
        <v>21</v>
      </c>
      <c r="N777">
        <v>18531</v>
      </c>
      <c r="O777" t="s">
        <v>25</v>
      </c>
      <c r="P777" t="s">
        <v>23</v>
      </c>
    </row>
    <row r="778" spans="1:16" x14ac:dyDescent="0.3">
      <c r="A778" t="s">
        <v>808</v>
      </c>
      <c r="B778" t="s">
        <v>31</v>
      </c>
      <c r="C778" t="s">
        <v>18</v>
      </c>
      <c r="D778" t="s">
        <v>1032</v>
      </c>
      <c r="E778" t="s">
        <v>19</v>
      </c>
      <c r="F778" t="s">
        <v>27</v>
      </c>
      <c r="G778">
        <v>23781</v>
      </c>
      <c r="H778">
        <v>0</v>
      </c>
      <c r="I778">
        <v>665</v>
      </c>
      <c r="J778">
        <v>240</v>
      </c>
      <c r="K778">
        <v>1</v>
      </c>
      <c r="L778" t="s">
        <v>34</v>
      </c>
      <c r="M778" t="s">
        <v>21</v>
      </c>
      <c r="N778">
        <v>23781</v>
      </c>
      <c r="O778" t="s">
        <v>25</v>
      </c>
      <c r="P778" t="s">
        <v>23</v>
      </c>
    </row>
    <row r="779" spans="1:16" x14ac:dyDescent="0.3">
      <c r="A779" t="s">
        <v>809</v>
      </c>
      <c r="B779" t="s">
        <v>17</v>
      </c>
      <c r="C779" t="s">
        <v>27</v>
      </c>
      <c r="D779" t="s">
        <v>1032</v>
      </c>
      <c r="E779" t="s">
        <v>19</v>
      </c>
      <c r="F779" t="s">
        <v>27</v>
      </c>
      <c r="G779">
        <v>24651</v>
      </c>
      <c r="H779">
        <v>9903</v>
      </c>
      <c r="I779">
        <v>696</v>
      </c>
      <c r="J779">
        <v>180</v>
      </c>
      <c r="K779">
        <v>1</v>
      </c>
      <c r="L779" t="s">
        <v>34</v>
      </c>
      <c r="M779" t="s">
        <v>21</v>
      </c>
      <c r="N779">
        <v>34554</v>
      </c>
      <c r="O779" t="s">
        <v>25</v>
      </c>
      <c r="P779" t="s">
        <v>23</v>
      </c>
    </row>
    <row r="780" spans="1:16" x14ac:dyDescent="0.3">
      <c r="A780" t="s">
        <v>810</v>
      </c>
      <c r="B780" t="s">
        <v>31</v>
      </c>
      <c r="C780" t="s">
        <v>18</v>
      </c>
      <c r="D780" t="s">
        <v>1032</v>
      </c>
      <c r="E780" t="s">
        <v>19</v>
      </c>
      <c r="F780" t="s">
        <v>18</v>
      </c>
      <c r="G780">
        <v>8875</v>
      </c>
      <c r="H780">
        <v>0</v>
      </c>
      <c r="I780">
        <v>233</v>
      </c>
      <c r="J780">
        <v>300</v>
      </c>
      <c r="K780">
        <v>1</v>
      </c>
      <c r="L780" t="s">
        <v>29</v>
      </c>
      <c r="M780" t="s">
        <v>21</v>
      </c>
      <c r="N780">
        <v>8875</v>
      </c>
      <c r="O780" t="s">
        <v>22</v>
      </c>
      <c r="P780" t="s">
        <v>23</v>
      </c>
    </row>
    <row r="781" spans="1:16" x14ac:dyDescent="0.3">
      <c r="A781" t="s">
        <v>811</v>
      </c>
      <c r="B781" t="s">
        <v>17</v>
      </c>
      <c r="C781" t="s">
        <v>18</v>
      </c>
      <c r="D781" t="s">
        <v>1035</v>
      </c>
      <c r="E781" t="s">
        <v>28</v>
      </c>
      <c r="F781" t="s">
        <v>27</v>
      </c>
      <c r="G781">
        <v>23713</v>
      </c>
      <c r="H781">
        <v>8256</v>
      </c>
      <c r="I781">
        <v>450</v>
      </c>
      <c r="J781">
        <v>300</v>
      </c>
      <c r="K781">
        <v>1</v>
      </c>
      <c r="L781" t="s">
        <v>34</v>
      </c>
      <c r="M781" t="s">
        <v>21</v>
      </c>
      <c r="N781">
        <v>31969</v>
      </c>
      <c r="O781" t="s">
        <v>25</v>
      </c>
      <c r="P781" t="s">
        <v>23</v>
      </c>
    </row>
    <row r="782" spans="1:16" x14ac:dyDescent="0.3">
      <c r="A782" t="s">
        <v>812</v>
      </c>
      <c r="B782" t="s">
        <v>31</v>
      </c>
      <c r="C782" t="s">
        <v>27</v>
      </c>
      <c r="D782" t="s">
        <v>1033</v>
      </c>
      <c r="E782" t="s">
        <v>28</v>
      </c>
      <c r="F782" t="s">
        <v>18</v>
      </c>
      <c r="G782">
        <v>5789</v>
      </c>
      <c r="H782">
        <v>0</v>
      </c>
      <c r="I782">
        <v>361</v>
      </c>
      <c r="J782">
        <v>300</v>
      </c>
      <c r="K782">
        <v>1</v>
      </c>
      <c r="L782" t="s">
        <v>34</v>
      </c>
      <c r="M782" t="s">
        <v>21</v>
      </c>
      <c r="N782">
        <v>5789</v>
      </c>
      <c r="O782" t="s">
        <v>22</v>
      </c>
      <c r="P782" t="s">
        <v>23</v>
      </c>
    </row>
    <row r="783" spans="1:16" x14ac:dyDescent="0.3">
      <c r="A783" t="s">
        <v>813</v>
      </c>
      <c r="B783" t="s">
        <v>17</v>
      </c>
      <c r="C783" t="s">
        <v>27</v>
      </c>
      <c r="D783" t="s">
        <v>1035</v>
      </c>
      <c r="E783" t="s">
        <v>28</v>
      </c>
      <c r="F783" t="s">
        <v>18</v>
      </c>
      <c r="G783">
        <v>8373</v>
      </c>
      <c r="H783">
        <v>0</v>
      </c>
      <c r="I783">
        <v>59</v>
      </c>
      <c r="J783">
        <v>240</v>
      </c>
      <c r="K783">
        <v>1</v>
      </c>
      <c r="L783" t="s">
        <v>34</v>
      </c>
      <c r="M783" t="s">
        <v>21</v>
      </c>
      <c r="N783">
        <v>8373</v>
      </c>
      <c r="O783" t="s">
        <v>22</v>
      </c>
      <c r="P783" t="s">
        <v>23</v>
      </c>
    </row>
    <row r="784" spans="1:16" x14ac:dyDescent="0.3">
      <c r="A784" t="s">
        <v>814</v>
      </c>
      <c r="B784" t="s">
        <v>17</v>
      </c>
      <c r="C784" t="s">
        <v>18</v>
      </c>
      <c r="D784" t="s">
        <v>1035</v>
      </c>
      <c r="E784" t="s">
        <v>28</v>
      </c>
      <c r="F784" t="s">
        <v>18</v>
      </c>
      <c r="G784">
        <v>3345</v>
      </c>
      <c r="H784">
        <v>2073</v>
      </c>
      <c r="I784">
        <v>535</v>
      </c>
      <c r="J784">
        <v>180</v>
      </c>
      <c r="K784">
        <v>0</v>
      </c>
      <c r="L784" t="s">
        <v>20</v>
      </c>
      <c r="M784" t="s">
        <v>53</v>
      </c>
      <c r="N784">
        <v>5418</v>
      </c>
      <c r="O784" t="s">
        <v>22</v>
      </c>
      <c r="P784" t="s">
        <v>32</v>
      </c>
    </row>
    <row r="785" spans="1:16" x14ac:dyDescent="0.3">
      <c r="A785" t="s">
        <v>815</v>
      </c>
      <c r="B785" t="s">
        <v>31</v>
      </c>
      <c r="C785" t="s">
        <v>27</v>
      </c>
      <c r="D785" t="s">
        <v>1033</v>
      </c>
      <c r="E785" t="s">
        <v>28</v>
      </c>
      <c r="F785" t="s">
        <v>18</v>
      </c>
      <c r="G785">
        <v>2613</v>
      </c>
      <c r="H785">
        <v>0</v>
      </c>
      <c r="I785">
        <v>456</v>
      </c>
      <c r="J785">
        <v>300</v>
      </c>
      <c r="K785">
        <v>1</v>
      </c>
      <c r="L785" t="s">
        <v>34</v>
      </c>
      <c r="M785" t="s">
        <v>53</v>
      </c>
      <c r="N785">
        <v>2613</v>
      </c>
      <c r="O785" t="s">
        <v>35</v>
      </c>
      <c r="P785" t="s">
        <v>23</v>
      </c>
    </row>
    <row r="786" spans="1:16" x14ac:dyDescent="0.3">
      <c r="A786" t="s">
        <v>816</v>
      </c>
      <c r="B786" t="s">
        <v>17</v>
      </c>
      <c r="C786" t="s">
        <v>27</v>
      </c>
      <c r="D786" t="s">
        <v>1034</v>
      </c>
      <c r="E786" t="s">
        <v>28</v>
      </c>
      <c r="F786" t="s">
        <v>27</v>
      </c>
      <c r="G786">
        <v>10518</v>
      </c>
      <c r="H786">
        <v>10860</v>
      </c>
      <c r="I786">
        <v>426</v>
      </c>
      <c r="J786">
        <v>120</v>
      </c>
      <c r="K786">
        <v>1</v>
      </c>
      <c r="L786" t="s">
        <v>20</v>
      </c>
      <c r="M786" t="s">
        <v>21</v>
      </c>
      <c r="N786">
        <v>21378</v>
      </c>
      <c r="O786" t="s">
        <v>25</v>
      </c>
      <c r="P786" t="s">
        <v>23</v>
      </c>
    </row>
    <row r="787" spans="1:16" x14ac:dyDescent="0.3">
      <c r="A787" t="s">
        <v>817</v>
      </c>
      <c r="B787" t="s">
        <v>17</v>
      </c>
      <c r="C787" t="s">
        <v>27</v>
      </c>
      <c r="D787" t="s">
        <v>1033</v>
      </c>
      <c r="E787" t="s">
        <v>19</v>
      </c>
      <c r="F787" t="s">
        <v>27</v>
      </c>
      <c r="G787">
        <v>10469</v>
      </c>
      <c r="H787">
        <v>0</v>
      </c>
      <c r="I787">
        <v>657</v>
      </c>
      <c r="J787">
        <v>180</v>
      </c>
      <c r="K787">
        <v>1</v>
      </c>
      <c r="L787" t="s">
        <v>34</v>
      </c>
      <c r="M787" t="s">
        <v>21</v>
      </c>
      <c r="N787">
        <v>10469</v>
      </c>
      <c r="O787" t="s">
        <v>25</v>
      </c>
      <c r="P787" t="s">
        <v>23</v>
      </c>
    </row>
    <row r="788" spans="1:16" x14ac:dyDescent="0.3">
      <c r="A788" t="s">
        <v>818</v>
      </c>
      <c r="B788" t="s">
        <v>31</v>
      </c>
      <c r="C788" t="s">
        <v>27</v>
      </c>
      <c r="D788" t="s">
        <v>1033</v>
      </c>
      <c r="E788" t="s">
        <v>19</v>
      </c>
      <c r="F788" t="s">
        <v>27</v>
      </c>
      <c r="G788">
        <v>3580</v>
      </c>
      <c r="H788">
        <v>0</v>
      </c>
      <c r="I788">
        <v>465</v>
      </c>
      <c r="J788">
        <v>120</v>
      </c>
      <c r="K788">
        <v>1</v>
      </c>
      <c r="L788" t="s">
        <v>34</v>
      </c>
      <c r="M788" t="s">
        <v>53</v>
      </c>
      <c r="N788">
        <v>3580</v>
      </c>
      <c r="O788" t="s">
        <v>35</v>
      </c>
      <c r="P788" t="s">
        <v>23</v>
      </c>
    </row>
    <row r="789" spans="1:16" x14ac:dyDescent="0.3">
      <c r="A789" t="s">
        <v>819</v>
      </c>
      <c r="B789" t="s">
        <v>31</v>
      </c>
      <c r="C789" t="s">
        <v>18</v>
      </c>
      <c r="D789" t="s">
        <v>1034</v>
      </c>
      <c r="E789" t="s">
        <v>19</v>
      </c>
      <c r="F789" t="s">
        <v>18</v>
      </c>
      <c r="G789">
        <v>7420</v>
      </c>
      <c r="H789">
        <v>0</v>
      </c>
      <c r="I789">
        <v>55</v>
      </c>
      <c r="J789">
        <v>360</v>
      </c>
      <c r="K789">
        <v>1</v>
      </c>
      <c r="L789" t="s">
        <v>29</v>
      </c>
      <c r="M789" t="s">
        <v>21</v>
      </c>
      <c r="N789">
        <v>7420</v>
      </c>
      <c r="O789" t="s">
        <v>22</v>
      </c>
      <c r="P789" t="s">
        <v>23</v>
      </c>
    </row>
    <row r="790" spans="1:16" x14ac:dyDescent="0.3">
      <c r="A790" t="s">
        <v>820</v>
      </c>
      <c r="B790" t="s">
        <v>17</v>
      </c>
      <c r="C790" t="s">
        <v>18</v>
      </c>
      <c r="D790" t="s">
        <v>1033</v>
      </c>
      <c r="E790" t="s">
        <v>19</v>
      </c>
      <c r="F790" t="s">
        <v>18</v>
      </c>
      <c r="G790">
        <v>4377</v>
      </c>
      <c r="H790">
        <v>9715</v>
      </c>
      <c r="I790">
        <v>85</v>
      </c>
      <c r="J790">
        <v>120</v>
      </c>
      <c r="K790">
        <v>0</v>
      </c>
      <c r="L790" t="s">
        <v>34</v>
      </c>
      <c r="M790" t="s">
        <v>21</v>
      </c>
      <c r="N790">
        <v>14092</v>
      </c>
      <c r="O790" t="s">
        <v>25</v>
      </c>
      <c r="P790" t="s">
        <v>32</v>
      </c>
    </row>
    <row r="791" spans="1:16" x14ac:dyDescent="0.3">
      <c r="A791" t="s">
        <v>821</v>
      </c>
      <c r="B791" t="s">
        <v>31</v>
      </c>
      <c r="C791" t="s">
        <v>27</v>
      </c>
      <c r="D791" t="s">
        <v>1033</v>
      </c>
      <c r="E791" t="s">
        <v>28</v>
      </c>
      <c r="F791" t="s">
        <v>18</v>
      </c>
      <c r="G791">
        <v>9637</v>
      </c>
      <c r="H791">
        <v>0</v>
      </c>
      <c r="I791">
        <v>581</v>
      </c>
      <c r="J791">
        <v>240</v>
      </c>
      <c r="K791">
        <v>1</v>
      </c>
      <c r="L791" t="s">
        <v>29</v>
      </c>
      <c r="M791" t="s">
        <v>21</v>
      </c>
      <c r="N791">
        <v>9637</v>
      </c>
      <c r="O791" t="s">
        <v>22</v>
      </c>
      <c r="P791" t="s">
        <v>23</v>
      </c>
    </row>
    <row r="792" spans="1:16" x14ac:dyDescent="0.3">
      <c r="A792" t="s">
        <v>822</v>
      </c>
      <c r="B792" t="s">
        <v>17</v>
      </c>
      <c r="C792" t="s">
        <v>27</v>
      </c>
      <c r="D792" t="s">
        <v>1032</v>
      </c>
      <c r="E792" t="s">
        <v>28</v>
      </c>
      <c r="F792" t="s">
        <v>18</v>
      </c>
      <c r="G792">
        <v>24042</v>
      </c>
      <c r="H792">
        <v>0</v>
      </c>
      <c r="I792">
        <v>292</v>
      </c>
      <c r="J792">
        <v>120</v>
      </c>
      <c r="K792">
        <v>1</v>
      </c>
      <c r="L792" t="s">
        <v>29</v>
      </c>
      <c r="M792" t="s">
        <v>21</v>
      </c>
      <c r="N792">
        <v>24042</v>
      </c>
      <c r="O792" t="s">
        <v>25</v>
      </c>
      <c r="P792" t="s">
        <v>23</v>
      </c>
    </row>
    <row r="793" spans="1:16" x14ac:dyDescent="0.3">
      <c r="A793" t="s">
        <v>823</v>
      </c>
      <c r="B793" t="s">
        <v>17</v>
      </c>
      <c r="C793" t="s">
        <v>18</v>
      </c>
      <c r="D793" t="s">
        <v>1033</v>
      </c>
      <c r="E793" t="s">
        <v>28</v>
      </c>
      <c r="F793" t="s">
        <v>27</v>
      </c>
      <c r="G793">
        <v>5710</v>
      </c>
      <c r="H793">
        <v>12445</v>
      </c>
      <c r="I793">
        <v>126</v>
      </c>
      <c r="J793">
        <v>360</v>
      </c>
      <c r="K793">
        <v>1</v>
      </c>
      <c r="L793" t="s">
        <v>29</v>
      </c>
      <c r="M793" t="s">
        <v>21</v>
      </c>
      <c r="N793">
        <v>18155</v>
      </c>
      <c r="O793" t="s">
        <v>25</v>
      </c>
      <c r="P793" t="s">
        <v>23</v>
      </c>
    </row>
    <row r="794" spans="1:16" x14ac:dyDescent="0.3">
      <c r="A794" t="s">
        <v>824</v>
      </c>
      <c r="B794" t="s">
        <v>17</v>
      </c>
      <c r="C794" t="s">
        <v>27</v>
      </c>
      <c r="D794" t="s">
        <v>1035</v>
      </c>
      <c r="E794" t="s">
        <v>19</v>
      </c>
      <c r="F794" t="s">
        <v>27</v>
      </c>
      <c r="G794">
        <v>23668</v>
      </c>
      <c r="H794">
        <v>0</v>
      </c>
      <c r="I794">
        <v>598</v>
      </c>
      <c r="J794">
        <v>180</v>
      </c>
      <c r="K794">
        <v>1</v>
      </c>
      <c r="L794" t="s">
        <v>34</v>
      </c>
      <c r="M794" t="s">
        <v>21</v>
      </c>
      <c r="N794">
        <v>23668</v>
      </c>
      <c r="O794" t="s">
        <v>25</v>
      </c>
      <c r="P794" t="s">
        <v>23</v>
      </c>
    </row>
    <row r="795" spans="1:16" x14ac:dyDescent="0.3">
      <c r="A795" t="s">
        <v>825</v>
      </c>
      <c r="B795" t="s">
        <v>31</v>
      </c>
      <c r="C795" t="s">
        <v>18</v>
      </c>
      <c r="D795" t="s">
        <v>1032</v>
      </c>
      <c r="E795" t="s">
        <v>19</v>
      </c>
      <c r="F795" t="s">
        <v>27</v>
      </c>
      <c r="G795">
        <v>6529</v>
      </c>
      <c r="H795">
        <v>5683</v>
      </c>
      <c r="I795">
        <v>438</v>
      </c>
      <c r="J795">
        <v>120</v>
      </c>
      <c r="K795">
        <v>0</v>
      </c>
      <c r="L795" t="s">
        <v>20</v>
      </c>
      <c r="M795" t="s">
        <v>21</v>
      </c>
      <c r="N795">
        <v>12212</v>
      </c>
      <c r="O795" t="s">
        <v>25</v>
      </c>
      <c r="P795" t="s">
        <v>32</v>
      </c>
    </row>
    <row r="796" spans="1:16" x14ac:dyDescent="0.3">
      <c r="A796" t="s">
        <v>826</v>
      </c>
      <c r="B796" t="s">
        <v>17</v>
      </c>
      <c r="C796" t="s">
        <v>27</v>
      </c>
      <c r="D796" t="s">
        <v>1034</v>
      </c>
      <c r="E796" t="s">
        <v>19</v>
      </c>
      <c r="F796" t="s">
        <v>27</v>
      </c>
      <c r="G796">
        <v>3661</v>
      </c>
      <c r="H796">
        <v>0</v>
      </c>
      <c r="I796">
        <v>421</v>
      </c>
      <c r="J796">
        <v>240</v>
      </c>
      <c r="K796">
        <v>1</v>
      </c>
      <c r="L796" t="s">
        <v>20</v>
      </c>
      <c r="M796" t="s">
        <v>53</v>
      </c>
      <c r="N796">
        <v>3661</v>
      </c>
      <c r="O796" t="s">
        <v>35</v>
      </c>
      <c r="P796" t="s">
        <v>23</v>
      </c>
    </row>
    <row r="797" spans="1:16" x14ac:dyDescent="0.3">
      <c r="A797" t="s">
        <v>827</v>
      </c>
      <c r="B797" t="s">
        <v>17</v>
      </c>
      <c r="C797" t="s">
        <v>27</v>
      </c>
      <c r="D797" t="s">
        <v>1034</v>
      </c>
      <c r="E797" t="s">
        <v>19</v>
      </c>
      <c r="F797" t="s">
        <v>27</v>
      </c>
      <c r="G797">
        <v>8781</v>
      </c>
      <c r="H797">
        <v>0</v>
      </c>
      <c r="I797">
        <v>176</v>
      </c>
      <c r="J797">
        <v>180</v>
      </c>
      <c r="K797">
        <v>1</v>
      </c>
      <c r="L797" t="s">
        <v>29</v>
      </c>
      <c r="M797" t="s">
        <v>21</v>
      </c>
      <c r="N797">
        <v>8781</v>
      </c>
      <c r="O797" t="s">
        <v>22</v>
      </c>
      <c r="P797" t="s">
        <v>23</v>
      </c>
    </row>
    <row r="798" spans="1:16" x14ac:dyDescent="0.3">
      <c r="A798" t="s">
        <v>828</v>
      </c>
      <c r="B798" t="s">
        <v>31</v>
      </c>
      <c r="C798" t="s">
        <v>18</v>
      </c>
      <c r="D798" t="s">
        <v>1032</v>
      </c>
      <c r="E798" t="s">
        <v>28</v>
      </c>
      <c r="F798" t="s">
        <v>27</v>
      </c>
      <c r="G798">
        <v>21405</v>
      </c>
      <c r="H798">
        <v>0</v>
      </c>
      <c r="I798">
        <v>224</v>
      </c>
      <c r="J798">
        <v>240</v>
      </c>
      <c r="K798">
        <v>0</v>
      </c>
      <c r="L798" t="s">
        <v>29</v>
      </c>
      <c r="M798" t="s">
        <v>21</v>
      </c>
      <c r="N798">
        <v>21405</v>
      </c>
      <c r="O798" t="s">
        <v>25</v>
      </c>
      <c r="P798" t="s">
        <v>32</v>
      </c>
    </row>
    <row r="799" spans="1:16" x14ac:dyDescent="0.3">
      <c r="A799" t="s">
        <v>829</v>
      </c>
      <c r="B799" t="s">
        <v>17</v>
      </c>
      <c r="C799" t="s">
        <v>27</v>
      </c>
      <c r="D799" t="s">
        <v>1035</v>
      </c>
      <c r="E799" t="s">
        <v>28</v>
      </c>
      <c r="F799" t="s">
        <v>18</v>
      </c>
      <c r="G799">
        <v>9988</v>
      </c>
      <c r="H799">
        <v>0</v>
      </c>
      <c r="I799">
        <v>179</v>
      </c>
      <c r="J799">
        <v>180</v>
      </c>
      <c r="K799">
        <v>1</v>
      </c>
      <c r="L799" t="s">
        <v>34</v>
      </c>
      <c r="M799" t="s">
        <v>21</v>
      </c>
      <c r="N799">
        <v>9988</v>
      </c>
      <c r="O799" t="s">
        <v>22</v>
      </c>
      <c r="P799" t="s">
        <v>23</v>
      </c>
    </row>
    <row r="800" spans="1:16" x14ac:dyDescent="0.3">
      <c r="A800" t="s">
        <v>830</v>
      </c>
      <c r="B800" t="s">
        <v>31</v>
      </c>
      <c r="C800" t="s">
        <v>18</v>
      </c>
      <c r="D800" t="s">
        <v>1032</v>
      </c>
      <c r="E800" t="s">
        <v>19</v>
      </c>
      <c r="F800" t="s">
        <v>27</v>
      </c>
      <c r="G800">
        <v>24659</v>
      </c>
      <c r="H800">
        <v>0</v>
      </c>
      <c r="I800">
        <v>499</v>
      </c>
      <c r="J800">
        <v>240</v>
      </c>
      <c r="K800">
        <v>0</v>
      </c>
      <c r="L800" t="s">
        <v>34</v>
      </c>
      <c r="M800" t="s">
        <v>21</v>
      </c>
      <c r="N800">
        <v>24659</v>
      </c>
      <c r="O800" t="s">
        <v>25</v>
      </c>
      <c r="P800" t="s">
        <v>32</v>
      </c>
    </row>
    <row r="801" spans="1:16" x14ac:dyDescent="0.3">
      <c r="A801" t="s">
        <v>831</v>
      </c>
      <c r="B801" t="s">
        <v>31</v>
      </c>
      <c r="C801" t="s">
        <v>27</v>
      </c>
      <c r="D801" t="s">
        <v>1035</v>
      </c>
      <c r="E801" t="s">
        <v>19</v>
      </c>
      <c r="F801" t="s">
        <v>27</v>
      </c>
      <c r="G801">
        <v>22328</v>
      </c>
      <c r="H801">
        <v>0</v>
      </c>
      <c r="I801">
        <v>362</v>
      </c>
      <c r="J801">
        <v>300</v>
      </c>
      <c r="K801">
        <v>1</v>
      </c>
      <c r="L801" t="s">
        <v>20</v>
      </c>
      <c r="M801" t="s">
        <v>21</v>
      </c>
      <c r="N801">
        <v>22328</v>
      </c>
      <c r="O801" t="s">
        <v>25</v>
      </c>
      <c r="P801" t="s">
        <v>23</v>
      </c>
    </row>
    <row r="802" spans="1:16" x14ac:dyDescent="0.3">
      <c r="A802" t="s">
        <v>832</v>
      </c>
      <c r="B802" t="s">
        <v>17</v>
      </c>
      <c r="C802" t="s">
        <v>18</v>
      </c>
      <c r="D802" t="s">
        <v>1033</v>
      </c>
      <c r="E802" t="s">
        <v>19</v>
      </c>
      <c r="F802" t="s">
        <v>18</v>
      </c>
      <c r="G802">
        <v>20351</v>
      </c>
      <c r="H802">
        <v>0</v>
      </c>
      <c r="I802">
        <v>342</v>
      </c>
      <c r="J802">
        <v>360</v>
      </c>
      <c r="K802">
        <v>0</v>
      </c>
      <c r="L802" t="s">
        <v>20</v>
      </c>
      <c r="M802" t="s">
        <v>21</v>
      </c>
      <c r="N802">
        <v>20351</v>
      </c>
      <c r="O802" t="s">
        <v>25</v>
      </c>
      <c r="P802" t="s">
        <v>32</v>
      </c>
    </row>
    <row r="803" spans="1:16" x14ac:dyDescent="0.3">
      <c r="A803" t="s">
        <v>833</v>
      </c>
      <c r="B803" t="s">
        <v>31</v>
      </c>
      <c r="C803" t="s">
        <v>18</v>
      </c>
      <c r="D803" t="s">
        <v>1035</v>
      </c>
      <c r="E803" t="s">
        <v>28</v>
      </c>
      <c r="F803" t="s">
        <v>18</v>
      </c>
      <c r="G803">
        <v>14786</v>
      </c>
      <c r="H803">
        <v>0</v>
      </c>
      <c r="I803">
        <v>57</v>
      </c>
      <c r="J803">
        <v>300</v>
      </c>
      <c r="K803">
        <v>1</v>
      </c>
      <c r="L803" t="s">
        <v>34</v>
      </c>
      <c r="M803" t="s">
        <v>21</v>
      </c>
      <c r="N803">
        <v>14786</v>
      </c>
      <c r="O803" t="s">
        <v>25</v>
      </c>
      <c r="P803" t="s">
        <v>23</v>
      </c>
    </row>
    <row r="804" spans="1:16" x14ac:dyDescent="0.3">
      <c r="A804" t="s">
        <v>834</v>
      </c>
      <c r="B804" t="s">
        <v>31</v>
      </c>
      <c r="C804" t="s">
        <v>18</v>
      </c>
      <c r="D804" t="s">
        <v>1034</v>
      </c>
      <c r="E804" t="s">
        <v>28</v>
      </c>
      <c r="F804" t="s">
        <v>18</v>
      </c>
      <c r="G804">
        <v>23602</v>
      </c>
      <c r="H804">
        <v>0</v>
      </c>
      <c r="I804">
        <v>229</v>
      </c>
      <c r="J804">
        <v>120</v>
      </c>
      <c r="K804">
        <v>1</v>
      </c>
      <c r="L804" t="s">
        <v>20</v>
      </c>
      <c r="M804" t="s">
        <v>21</v>
      </c>
      <c r="N804">
        <v>23602</v>
      </c>
      <c r="O804" t="s">
        <v>25</v>
      </c>
      <c r="P804" t="s">
        <v>23</v>
      </c>
    </row>
    <row r="805" spans="1:16" x14ac:dyDescent="0.3">
      <c r="A805" t="s">
        <v>835</v>
      </c>
      <c r="B805" t="s">
        <v>31</v>
      </c>
      <c r="C805" t="s">
        <v>18</v>
      </c>
      <c r="D805" t="s">
        <v>1035</v>
      </c>
      <c r="E805" t="s">
        <v>28</v>
      </c>
      <c r="F805" t="s">
        <v>27</v>
      </c>
      <c r="G805">
        <v>7086</v>
      </c>
      <c r="H805">
        <v>0</v>
      </c>
      <c r="I805">
        <v>396</v>
      </c>
      <c r="J805">
        <v>180</v>
      </c>
      <c r="K805">
        <v>0</v>
      </c>
      <c r="L805" t="s">
        <v>20</v>
      </c>
      <c r="M805" t="s">
        <v>53</v>
      </c>
      <c r="N805">
        <v>7086</v>
      </c>
      <c r="O805" t="s">
        <v>22</v>
      </c>
      <c r="P805" t="s">
        <v>32</v>
      </c>
    </row>
    <row r="806" spans="1:16" x14ac:dyDescent="0.3">
      <c r="A806" t="s">
        <v>836</v>
      </c>
      <c r="B806" t="s">
        <v>31</v>
      </c>
      <c r="C806" t="s">
        <v>27</v>
      </c>
      <c r="D806" t="s">
        <v>1035</v>
      </c>
      <c r="E806" t="s">
        <v>28</v>
      </c>
      <c r="F806" t="s">
        <v>27</v>
      </c>
      <c r="G806">
        <v>8481</v>
      </c>
      <c r="H806">
        <v>536</v>
      </c>
      <c r="I806">
        <v>272</v>
      </c>
      <c r="J806">
        <v>240</v>
      </c>
      <c r="K806">
        <v>0</v>
      </c>
      <c r="L806" t="s">
        <v>34</v>
      </c>
      <c r="M806" t="s">
        <v>21</v>
      </c>
      <c r="N806">
        <v>9017</v>
      </c>
      <c r="O806" t="s">
        <v>22</v>
      </c>
      <c r="P806" t="s">
        <v>32</v>
      </c>
    </row>
    <row r="807" spans="1:16" x14ac:dyDescent="0.3">
      <c r="A807" t="s">
        <v>837</v>
      </c>
      <c r="B807" t="s">
        <v>17</v>
      </c>
      <c r="C807" t="s">
        <v>27</v>
      </c>
      <c r="D807" t="s">
        <v>1035</v>
      </c>
      <c r="E807" t="s">
        <v>19</v>
      </c>
      <c r="F807" t="s">
        <v>27</v>
      </c>
      <c r="G807">
        <v>1693</v>
      </c>
      <c r="H807">
        <v>10584</v>
      </c>
      <c r="I807">
        <v>386</v>
      </c>
      <c r="J807">
        <v>240</v>
      </c>
      <c r="K807">
        <v>1</v>
      </c>
      <c r="L807" t="s">
        <v>20</v>
      </c>
      <c r="M807" t="s">
        <v>21</v>
      </c>
      <c r="N807">
        <v>12277</v>
      </c>
      <c r="O807" t="s">
        <v>25</v>
      </c>
      <c r="P807" t="s">
        <v>23</v>
      </c>
    </row>
    <row r="808" spans="1:16" x14ac:dyDescent="0.3">
      <c r="A808" t="s">
        <v>838</v>
      </c>
      <c r="B808" t="s">
        <v>31</v>
      </c>
      <c r="C808" t="s">
        <v>18</v>
      </c>
      <c r="D808" t="s">
        <v>1035</v>
      </c>
      <c r="E808" t="s">
        <v>28</v>
      </c>
      <c r="F808" t="s">
        <v>18</v>
      </c>
      <c r="G808">
        <v>4820</v>
      </c>
      <c r="H808">
        <v>7558</v>
      </c>
      <c r="I808">
        <v>252</v>
      </c>
      <c r="J808">
        <v>120</v>
      </c>
      <c r="K808">
        <v>1</v>
      </c>
      <c r="L808" t="s">
        <v>20</v>
      </c>
      <c r="M808" t="s">
        <v>21</v>
      </c>
      <c r="N808">
        <v>12378</v>
      </c>
      <c r="O808" t="s">
        <v>25</v>
      </c>
      <c r="P808" t="s">
        <v>23</v>
      </c>
    </row>
    <row r="809" spans="1:16" x14ac:dyDescent="0.3">
      <c r="A809" t="s">
        <v>839</v>
      </c>
      <c r="B809" t="s">
        <v>31</v>
      </c>
      <c r="C809" t="s">
        <v>18</v>
      </c>
      <c r="D809" t="s">
        <v>1035</v>
      </c>
      <c r="E809" t="s">
        <v>19</v>
      </c>
      <c r="F809" t="s">
        <v>18</v>
      </c>
      <c r="G809">
        <v>23016</v>
      </c>
      <c r="H809">
        <v>0</v>
      </c>
      <c r="I809">
        <v>531</v>
      </c>
      <c r="J809">
        <v>300</v>
      </c>
      <c r="K809">
        <v>1</v>
      </c>
      <c r="L809" t="s">
        <v>29</v>
      </c>
      <c r="M809" t="s">
        <v>21</v>
      </c>
      <c r="N809">
        <v>23016</v>
      </c>
      <c r="O809" t="s">
        <v>25</v>
      </c>
      <c r="P809" t="s">
        <v>23</v>
      </c>
    </row>
    <row r="810" spans="1:16" x14ac:dyDescent="0.3">
      <c r="A810" t="s">
        <v>840</v>
      </c>
      <c r="B810" t="s">
        <v>31</v>
      </c>
      <c r="C810" t="s">
        <v>18</v>
      </c>
      <c r="D810" t="s">
        <v>1032</v>
      </c>
      <c r="E810" t="s">
        <v>19</v>
      </c>
      <c r="F810" t="s">
        <v>27</v>
      </c>
      <c r="G810">
        <v>23004</v>
      </c>
      <c r="H810">
        <v>14252</v>
      </c>
      <c r="I810">
        <v>215</v>
      </c>
      <c r="J810">
        <v>180</v>
      </c>
      <c r="K810">
        <v>1</v>
      </c>
      <c r="L810" t="s">
        <v>29</v>
      </c>
      <c r="M810" t="s">
        <v>21</v>
      </c>
      <c r="N810">
        <v>37256</v>
      </c>
      <c r="O810" t="s">
        <v>25</v>
      </c>
      <c r="P810" t="s">
        <v>23</v>
      </c>
    </row>
    <row r="811" spans="1:16" x14ac:dyDescent="0.3">
      <c r="A811" t="s">
        <v>841</v>
      </c>
      <c r="B811" t="s">
        <v>17</v>
      </c>
      <c r="C811" t="s">
        <v>27</v>
      </c>
      <c r="D811" t="s">
        <v>1033</v>
      </c>
      <c r="E811" t="s">
        <v>19</v>
      </c>
      <c r="F811" t="s">
        <v>18</v>
      </c>
      <c r="G811">
        <v>10835</v>
      </c>
      <c r="H811">
        <v>0</v>
      </c>
      <c r="I811">
        <v>454</v>
      </c>
      <c r="J811">
        <v>300</v>
      </c>
      <c r="K811">
        <v>1</v>
      </c>
      <c r="L811" t="s">
        <v>20</v>
      </c>
      <c r="M811" t="s">
        <v>21</v>
      </c>
      <c r="N811">
        <v>10835</v>
      </c>
      <c r="O811" t="s">
        <v>25</v>
      </c>
      <c r="P811" t="s">
        <v>23</v>
      </c>
    </row>
    <row r="812" spans="1:16" x14ac:dyDescent="0.3">
      <c r="A812" t="s">
        <v>842</v>
      </c>
      <c r="B812" t="s">
        <v>17</v>
      </c>
      <c r="C812" t="s">
        <v>18</v>
      </c>
      <c r="D812" t="s">
        <v>1035</v>
      </c>
      <c r="E812" t="s">
        <v>28</v>
      </c>
      <c r="F812" t="s">
        <v>18</v>
      </c>
      <c r="G812">
        <v>15298</v>
      </c>
      <c r="H812">
        <v>8512</v>
      </c>
      <c r="I812">
        <v>180</v>
      </c>
      <c r="J812">
        <v>240</v>
      </c>
      <c r="K812">
        <v>1</v>
      </c>
      <c r="L812" t="s">
        <v>29</v>
      </c>
      <c r="M812" t="s">
        <v>21</v>
      </c>
      <c r="N812">
        <v>23810</v>
      </c>
      <c r="O812" t="s">
        <v>25</v>
      </c>
      <c r="P812" t="s">
        <v>23</v>
      </c>
    </row>
    <row r="813" spans="1:16" x14ac:dyDescent="0.3">
      <c r="A813" t="s">
        <v>843</v>
      </c>
      <c r="B813" t="s">
        <v>31</v>
      </c>
      <c r="C813" t="s">
        <v>18</v>
      </c>
      <c r="D813" t="s">
        <v>1034</v>
      </c>
      <c r="E813" t="s">
        <v>19</v>
      </c>
      <c r="F813" t="s">
        <v>18</v>
      </c>
      <c r="G813">
        <v>5632</v>
      </c>
      <c r="H813">
        <v>3048</v>
      </c>
      <c r="I813">
        <v>562</v>
      </c>
      <c r="J813">
        <v>120</v>
      </c>
      <c r="K813">
        <v>1</v>
      </c>
      <c r="L813" t="s">
        <v>20</v>
      </c>
      <c r="M813" t="s">
        <v>21</v>
      </c>
      <c r="N813">
        <v>8680</v>
      </c>
      <c r="O813" t="s">
        <v>22</v>
      </c>
      <c r="P813" t="s">
        <v>23</v>
      </c>
    </row>
    <row r="814" spans="1:16" x14ac:dyDescent="0.3">
      <c r="A814" t="s">
        <v>844</v>
      </c>
      <c r="B814" t="s">
        <v>17</v>
      </c>
      <c r="C814" t="s">
        <v>27</v>
      </c>
      <c r="D814" t="s">
        <v>1035</v>
      </c>
      <c r="E814" t="s">
        <v>19</v>
      </c>
      <c r="F814" t="s">
        <v>27</v>
      </c>
      <c r="G814">
        <v>17234</v>
      </c>
      <c r="H814">
        <v>5242</v>
      </c>
      <c r="I814">
        <v>547</v>
      </c>
      <c r="J814">
        <v>120</v>
      </c>
      <c r="K814">
        <v>1</v>
      </c>
      <c r="L814" t="s">
        <v>20</v>
      </c>
      <c r="M814" t="s">
        <v>21</v>
      </c>
      <c r="N814">
        <v>22476</v>
      </c>
      <c r="O814" t="s">
        <v>25</v>
      </c>
      <c r="P814" t="s">
        <v>23</v>
      </c>
    </row>
    <row r="815" spans="1:16" x14ac:dyDescent="0.3">
      <c r="A815" t="s">
        <v>845</v>
      </c>
      <c r="B815" t="s">
        <v>17</v>
      </c>
      <c r="C815" t="s">
        <v>18</v>
      </c>
      <c r="D815" t="s">
        <v>1033</v>
      </c>
      <c r="E815" t="s">
        <v>28</v>
      </c>
      <c r="F815" t="s">
        <v>18</v>
      </c>
      <c r="G815">
        <v>10135</v>
      </c>
      <c r="H815">
        <v>0</v>
      </c>
      <c r="I815">
        <v>489</v>
      </c>
      <c r="J815">
        <v>180</v>
      </c>
      <c r="K815">
        <v>1</v>
      </c>
      <c r="L815" t="s">
        <v>20</v>
      </c>
      <c r="M815" t="s">
        <v>21</v>
      </c>
      <c r="N815">
        <v>10135</v>
      </c>
      <c r="O815" t="s">
        <v>25</v>
      </c>
      <c r="P815" t="s">
        <v>23</v>
      </c>
    </row>
    <row r="816" spans="1:16" x14ac:dyDescent="0.3">
      <c r="A816" t="s">
        <v>846</v>
      </c>
      <c r="B816" t="s">
        <v>17</v>
      </c>
      <c r="C816" t="s">
        <v>18</v>
      </c>
      <c r="D816" t="s">
        <v>1033</v>
      </c>
      <c r="E816" t="s">
        <v>19</v>
      </c>
      <c r="F816" t="s">
        <v>18</v>
      </c>
      <c r="G816">
        <v>5835</v>
      </c>
      <c r="H816">
        <v>0</v>
      </c>
      <c r="I816">
        <v>330</v>
      </c>
      <c r="J816">
        <v>180</v>
      </c>
      <c r="K816">
        <v>0</v>
      </c>
      <c r="L816" t="s">
        <v>29</v>
      </c>
      <c r="M816" t="s">
        <v>53</v>
      </c>
      <c r="N816">
        <v>5835</v>
      </c>
      <c r="O816" t="s">
        <v>22</v>
      </c>
      <c r="P816" t="s">
        <v>32</v>
      </c>
    </row>
    <row r="817" spans="1:16" x14ac:dyDescent="0.3">
      <c r="A817" t="s">
        <v>847</v>
      </c>
      <c r="B817" t="s">
        <v>17</v>
      </c>
      <c r="C817" t="s">
        <v>18</v>
      </c>
      <c r="D817" t="s">
        <v>1034</v>
      </c>
      <c r="E817" t="s">
        <v>19</v>
      </c>
      <c r="F817" t="s">
        <v>27</v>
      </c>
      <c r="G817">
        <v>14846</v>
      </c>
      <c r="H817">
        <v>9101</v>
      </c>
      <c r="I817">
        <v>698</v>
      </c>
      <c r="J817">
        <v>180</v>
      </c>
      <c r="K817">
        <v>1</v>
      </c>
      <c r="L817" t="s">
        <v>29</v>
      </c>
      <c r="M817" t="s">
        <v>21</v>
      </c>
      <c r="N817">
        <v>23947</v>
      </c>
      <c r="O817" t="s">
        <v>25</v>
      </c>
      <c r="P817" t="s">
        <v>23</v>
      </c>
    </row>
    <row r="818" spans="1:16" x14ac:dyDescent="0.3">
      <c r="A818" t="s">
        <v>848</v>
      </c>
      <c r="B818" t="s">
        <v>31</v>
      </c>
      <c r="C818" t="s">
        <v>18</v>
      </c>
      <c r="D818" t="s">
        <v>1035</v>
      </c>
      <c r="E818" t="s">
        <v>19</v>
      </c>
      <c r="F818" t="s">
        <v>27</v>
      </c>
      <c r="G818">
        <v>5106</v>
      </c>
      <c r="H818">
        <v>4911</v>
      </c>
      <c r="I818">
        <v>337</v>
      </c>
      <c r="J818">
        <v>240</v>
      </c>
      <c r="K818">
        <v>1</v>
      </c>
      <c r="L818" t="s">
        <v>20</v>
      </c>
      <c r="M818" t="s">
        <v>21</v>
      </c>
      <c r="N818">
        <v>10017</v>
      </c>
      <c r="O818" t="s">
        <v>25</v>
      </c>
      <c r="P818" t="s">
        <v>23</v>
      </c>
    </row>
    <row r="819" spans="1:16" x14ac:dyDescent="0.3">
      <c r="A819" t="s">
        <v>849</v>
      </c>
      <c r="B819" t="s">
        <v>31</v>
      </c>
      <c r="C819" t="s">
        <v>18</v>
      </c>
      <c r="D819" t="s">
        <v>1033</v>
      </c>
      <c r="E819" t="s">
        <v>19</v>
      </c>
      <c r="F819" t="s">
        <v>18</v>
      </c>
      <c r="G819">
        <v>3208</v>
      </c>
      <c r="H819">
        <v>11320</v>
      </c>
      <c r="I819">
        <v>267</v>
      </c>
      <c r="J819">
        <v>240</v>
      </c>
      <c r="K819">
        <v>1</v>
      </c>
      <c r="L819" t="s">
        <v>34</v>
      </c>
      <c r="M819" t="s">
        <v>21</v>
      </c>
      <c r="N819">
        <v>14528</v>
      </c>
      <c r="O819" t="s">
        <v>25</v>
      </c>
      <c r="P819" t="s">
        <v>23</v>
      </c>
    </row>
    <row r="820" spans="1:16" x14ac:dyDescent="0.3">
      <c r="A820" t="s">
        <v>850</v>
      </c>
      <c r="B820" t="s">
        <v>17</v>
      </c>
      <c r="C820" t="s">
        <v>27</v>
      </c>
      <c r="D820" t="s">
        <v>1033</v>
      </c>
      <c r="E820" t="s">
        <v>28</v>
      </c>
      <c r="F820" t="s">
        <v>27</v>
      </c>
      <c r="G820">
        <v>13413</v>
      </c>
      <c r="H820">
        <v>5976</v>
      </c>
      <c r="I820">
        <v>164</v>
      </c>
      <c r="J820">
        <v>120</v>
      </c>
      <c r="K820">
        <v>1</v>
      </c>
      <c r="L820" t="s">
        <v>34</v>
      </c>
      <c r="M820" t="s">
        <v>21</v>
      </c>
      <c r="N820">
        <v>19389</v>
      </c>
      <c r="O820" t="s">
        <v>25</v>
      </c>
      <c r="P820" t="s">
        <v>23</v>
      </c>
    </row>
    <row r="821" spans="1:16" x14ac:dyDescent="0.3">
      <c r="A821" t="s">
        <v>851</v>
      </c>
      <c r="B821" t="s">
        <v>17</v>
      </c>
      <c r="C821" t="s">
        <v>27</v>
      </c>
      <c r="D821" t="s">
        <v>1032</v>
      </c>
      <c r="E821" t="s">
        <v>28</v>
      </c>
      <c r="F821" t="s">
        <v>27</v>
      </c>
      <c r="G821">
        <v>9307</v>
      </c>
      <c r="H821">
        <v>11153</v>
      </c>
      <c r="I821">
        <v>265</v>
      </c>
      <c r="J821">
        <v>360</v>
      </c>
      <c r="K821">
        <v>1</v>
      </c>
      <c r="L821" t="s">
        <v>20</v>
      </c>
      <c r="M821" t="s">
        <v>21</v>
      </c>
      <c r="N821">
        <v>20460</v>
      </c>
      <c r="O821" t="s">
        <v>25</v>
      </c>
      <c r="P821" t="s">
        <v>23</v>
      </c>
    </row>
    <row r="822" spans="1:16" x14ac:dyDescent="0.3">
      <c r="A822" t="s">
        <v>852</v>
      </c>
      <c r="B822" t="s">
        <v>17</v>
      </c>
      <c r="C822" t="s">
        <v>18</v>
      </c>
      <c r="D822" t="s">
        <v>1034</v>
      </c>
      <c r="E822" t="s">
        <v>19</v>
      </c>
      <c r="F822" t="s">
        <v>18</v>
      </c>
      <c r="G822">
        <v>24590</v>
      </c>
      <c r="H822">
        <v>0</v>
      </c>
      <c r="I822">
        <v>126</v>
      </c>
      <c r="J822">
        <v>360</v>
      </c>
      <c r="K822">
        <v>1</v>
      </c>
      <c r="L822" t="s">
        <v>29</v>
      </c>
      <c r="M822" t="s">
        <v>21</v>
      </c>
      <c r="N822">
        <v>24590</v>
      </c>
      <c r="O822" t="s">
        <v>25</v>
      </c>
      <c r="P822" t="s">
        <v>23</v>
      </c>
    </row>
    <row r="823" spans="1:16" x14ac:dyDescent="0.3">
      <c r="A823" t="s">
        <v>853</v>
      </c>
      <c r="B823" t="s">
        <v>31</v>
      </c>
      <c r="C823" t="s">
        <v>18</v>
      </c>
      <c r="D823" t="s">
        <v>1033</v>
      </c>
      <c r="E823" t="s">
        <v>19</v>
      </c>
      <c r="F823" t="s">
        <v>18</v>
      </c>
      <c r="G823">
        <v>7781</v>
      </c>
      <c r="H823">
        <v>7351</v>
      </c>
      <c r="I823">
        <v>623</v>
      </c>
      <c r="J823">
        <v>240</v>
      </c>
      <c r="K823">
        <v>0</v>
      </c>
      <c r="L823" t="s">
        <v>29</v>
      </c>
      <c r="M823" t="s">
        <v>21</v>
      </c>
      <c r="N823">
        <v>15132</v>
      </c>
      <c r="O823" t="s">
        <v>25</v>
      </c>
      <c r="P823" t="s">
        <v>32</v>
      </c>
    </row>
    <row r="824" spans="1:16" x14ac:dyDescent="0.3">
      <c r="A824" t="s">
        <v>854</v>
      </c>
      <c r="B824" t="s">
        <v>17</v>
      </c>
      <c r="C824" t="s">
        <v>27</v>
      </c>
      <c r="D824" t="s">
        <v>1034</v>
      </c>
      <c r="E824" t="s">
        <v>28</v>
      </c>
      <c r="F824" t="s">
        <v>27</v>
      </c>
      <c r="G824">
        <v>18662</v>
      </c>
      <c r="H824">
        <v>0</v>
      </c>
      <c r="I824">
        <v>220</v>
      </c>
      <c r="J824">
        <v>360</v>
      </c>
      <c r="K824">
        <v>1</v>
      </c>
      <c r="L824" t="s">
        <v>20</v>
      </c>
      <c r="M824" t="s">
        <v>21</v>
      </c>
      <c r="N824">
        <v>18662</v>
      </c>
      <c r="O824" t="s">
        <v>25</v>
      </c>
      <c r="P824" t="s">
        <v>23</v>
      </c>
    </row>
    <row r="825" spans="1:16" x14ac:dyDescent="0.3">
      <c r="A825" t="s">
        <v>855</v>
      </c>
      <c r="B825" t="s">
        <v>31</v>
      </c>
      <c r="C825" t="s">
        <v>18</v>
      </c>
      <c r="D825" t="s">
        <v>1034</v>
      </c>
      <c r="E825" t="s">
        <v>19</v>
      </c>
      <c r="F825" t="s">
        <v>27</v>
      </c>
      <c r="G825">
        <v>17721</v>
      </c>
      <c r="H825">
        <v>0</v>
      </c>
      <c r="I825">
        <v>219</v>
      </c>
      <c r="J825">
        <v>300</v>
      </c>
      <c r="K825">
        <v>1</v>
      </c>
      <c r="L825" t="s">
        <v>29</v>
      </c>
      <c r="M825" t="s">
        <v>21</v>
      </c>
      <c r="N825">
        <v>17721</v>
      </c>
      <c r="O825" t="s">
        <v>25</v>
      </c>
      <c r="P825" t="s">
        <v>23</v>
      </c>
    </row>
    <row r="826" spans="1:16" x14ac:dyDescent="0.3">
      <c r="A826" t="s">
        <v>856</v>
      </c>
      <c r="B826" t="s">
        <v>31</v>
      </c>
      <c r="C826" t="s">
        <v>27</v>
      </c>
      <c r="D826" t="s">
        <v>1032</v>
      </c>
      <c r="E826" t="s">
        <v>19</v>
      </c>
      <c r="F826" t="s">
        <v>18</v>
      </c>
      <c r="G826">
        <v>1617</v>
      </c>
      <c r="H826">
        <v>0</v>
      </c>
      <c r="I826">
        <v>656</v>
      </c>
      <c r="J826">
        <v>120</v>
      </c>
      <c r="K826">
        <v>0</v>
      </c>
      <c r="L826" t="s">
        <v>34</v>
      </c>
      <c r="M826" t="s">
        <v>53</v>
      </c>
      <c r="N826">
        <v>1617</v>
      </c>
      <c r="O826" t="s">
        <v>35</v>
      </c>
      <c r="P826" t="s">
        <v>32</v>
      </c>
    </row>
    <row r="827" spans="1:16" x14ac:dyDescent="0.3">
      <c r="A827" t="s">
        <v>857</v>
      </c>
      <c r="B827" t="s">
        <v>31</v>
      </c>
      <c r="C827" t="s">
        <v>27</v>
      </c>
      <c r="D827" t="s">
        <v>1032</v>
      </c>
      <c r="E827" t="s">
        <v>19</v>
      </c>
      <c r="F827" t="s">
        <v>27</v>
      </c>
      <c r="G827">
        <v>24708</v>
      </c>
      <c r="H827">
        <v>0</v>
      </c>
      <c r="I827">
        <v>225</v>
      </c>
      <c r="J827">
        <v>180</v>
      </c>
      <c r="K827">
        <v>1</v>
      </c>
      <c r="L827" t="s">
        <v>20</v>
      </c>
      <c r="M827" t="s">
        <v>21</v>
      </c>
      <c r="N827">
        <v>24708</v>
      </c>
      <c r="O827" t="s">
        <v>25</v>
      </c>
      <c r="P827" t="s">
        <v>23</v>
      </c>
    </row>
    <row r="828" spans="1:16" x14ac:dyDescent="0.3">
      <c r="A828" t="s">
        <v>858</v>
      </c>
      <c r="B828" t="s">
        <v>31</v>
      </c>
      <c r="C828" t="s">
        <v>18</v>
      </c>
      <c r="D828" t="s">
        <v>1033</v>
      </c>
      <c r="E828" t="s">
        <v>28</v>
      </c>
      <c r="F828" t="s">
        <v>18</v>
      </c>
      <c r="G828">
        <v>10361</v>
      </c>
      <c r="H828">
        <v>0</v>
      </c>
      <c r="I828">
        <v>304</v>
      </c>
      <c r="J828">
        <v>180</v>
      </c>
      <c r="K828">
        <v>1</v>
      </c>
      <c r="L828" t="s">
        <v>20</v>
      </c>
      <c r="M828" t="s">
        <v>21</v>
      </c>
      <c r="N828">
        <v>10361</v>
      </c>
      <c r="O828" t="s">
        <v>25</v>
      </c>
      <c r="P828" t="s">
        <v>23</v>
      </c>
    </row>
    <row r="829" spans="1:16" x14ac:dyDescent="0.3">
      <c r="A829" t="s">
        <v>859</v>
      </c>
      <c r="B829" t="s">
        <v>31</v>
      </c>
      <c r="C829" t="s">
        <v>27</v>
      </c>
      <c r="D829" t="s">
        <v>1032</v>
      </c>
      <c r="E829" t="s">
        <v>19</v>
      </c>
      <c r="F829" t="s">
        <v>27</v>
      </c>
      <c r="G829">
        <v>5878</v>
      </c>
      <c r="H829">
        <v>7190</v>
      </c>
      <c r="I829">
        <v>382</v>
      </c>
      <c r="J829">
        <v>120</v>
      </c>
      <c r="K829">
        <v>1</v>
      </c>
      <c r="L829" t="s">
        <v>20</v>
      </c>
      <c r="M829" t="s">
        <v>21</v>
      </c>
      <c r="N829">
        <v>13068</v>
      </c>
      <c r="O829" t="s">
        <v>25</v>
      </c>
      <c r="P829" t="s">
        <v>23</v>
      </c>
    </row>
    <row r="830" spans="1:16" x14ac:dyDescent="0.3">
      <c r="A830" t="s">
        <v>860</v>
      </c>
      <c r="B830" t="s">
        <v>31</v>
      </c>
      <c r="C830" t="s">
        <v>18</v>
      </c>
      <c r="D830" t="s">
        <v>1032</v>
      </c>
      <c r="E830" t="s">
        <v>19</v>
      </c>
      <c r="F830" t="s">
        <v>27</v>
      </c>
      <c r="G830">
        <v>2012</v>
      </c>
      <c r="H830">
        <v>0</v>
      </c>
      <c r="I830">
        <v>441</v>
      </c>
      <c r="J830">
        <v>240</v>
      </c>
      <c r="K830">
        <v>0</v>
      </c>
      <c r="L830" t="s">
        <v>34</v>
      </c>
      <c r="M830" t="s">
        <v>53</v>
      </c>
      <c r="N830">
        <v>2012</v>
      </c>
      <c r="O830" t="s">
        <v>35</v>
      </c>
      <c r="P830" t="s">
        <v>32</v>
      </c>
    </row>
    <row r="831" spans="1:16" x14ac:dyDescent="0.3">
      <c r="A831" t="s">
        <v>861</v>
      </c>
      <c r="B831" t="s">
        <v>17</v>
      </c>
      <c r="C831" t="s">
        <v>27</v>
      </c>
      <c r="D831" t="s">
        <v>1033</v>
      </c>
      <c r="E831" t="s">
        <v>28</v>
      </c>
      <c r="F831" t="s">
        <v>27</v>
      </c>
      <c r="G831">
        <v>8182</v>
      </c>
      <c r="H831">
        <v>10029</v>
      </c>
      <c r="I831">
        <v>209</v>
      </c>
      <c r="J831">
        <v>300</v>
      </c>
      <c r="K831">
        <v>1</v>
      </c>
      <c r="L831" t="s">
        <v>34</v>
      </c>
      <c r="M831" t="s">
        <v>21</v>
      </c>
      <c r="N831">
        <v>18211</v>
      </c>
      <c r="O831" t="s">
        <v>25</v>
      </c>
      <c r="P831" t="s">
        <v>23</v>
      </c>
    </row>
    <row r="832" spans="1:16" x14ac:dyDescent="0.3">
      <c r="A832" t="s">
        <v>862</v>
      </c>
      <c r="B832" t="s">
        <v>31</v>
      </c>
      <c r="C832" t="s">
        <v>27</v>
      </c>
      <c r="D832" t="s">
        <v>1033</v>
      </c>
      <c r="E832" t="s">
        <v>28</v>
      </c>
      <c r="F832" t="s">
        <v>18</v>
      </c>
      <c r="G832">
        <v>17751</v>
      </c>
      <c r="H832">
        <v>3473</v>
      </c>
      <c r="I832">
        <v>239</v>
      </c>
      <c r="J832">
        <v>180</v>
      </c>
      <c r="K832">
        <v>1</v>
      </c>
      <c r="L832" t="s">
        <v>29</v>
      </c>
      <c r="M832" t="s">
        <v>21</v>
      </c>
      <c r="N832">
        <v>21224</v>
      </c>
      <c r="O832" t="s">
        <v>25</v>
      </c>
      <c r="P832" t="s">
        <v>23</v>
      </c>
    </row>
    <row r="833" spans="1:16" x14ac:dyDescent="0.3">
      <c r="A833" t="s">
        <v>863</v>
      </c>
      <c r="B833" t="s">
        <v>17</v>
      </c>
      <c r="C833" t="s">
        <v>27</v>
      </c>
      <c r="D833" t="s">
        <v>1034</v>
      </c>
      <c r="E833" t="s">
        <v>28</v>
      </c>
      <c r="F833" t="s">
        <v>18</v>
      </c>
      <c r="G833">
        <v>7323</v>
      </c>
      <c r="H833">
        <v>13893</v>
      </c>
      <c r="I833">
        <v>672</v>
      </c>
      <c r="J833">
        <v>180</v>
      </c>
      <c r="K833">
        <v>1</v>
      </c>
      <c r="L833" t="s">
        <v>20</v>
      </c>
      <c r="M833" t="s">
        <v>21</v>
      </c>
      <c r="N833">
        <v>21216</v>
      </c>
      <c r="O833" t="s">
        <v>25</v>
      </c>
      <c r="P833" t="s">
        <v>23</v>
      </c>
    </row>
    <row r="834" spans="1:16" x14ac:dyDescent="0.3">
      <c r="A834" t="s">
        <v>864</v>
      </c>
      <c r="B834" t="s">
        <v>31</v>
      </c>
      <c r="C834" t="s">
        <v>18</v>
      </c>
      <c r="D834" t="s">
        <v>1035</v>
      </c>
      <c r="E834" t="s">
        <v>28</v>
      </c>
      <c r="F834" t="s">
        <v>18</v>
      </c>
      <c r="G834">
        <v>18761</v>
      </c>
      <c r="H834">
        <v>0</v>
      </c>
      <c r="I834">
        <v>667</v>
      </c>
      <c r="J834">
        <v>120</v>
      </c>
      <c r="K834">
        <v>1</v>
      </c>
      <c r="L834" t="s">
        <v>20</v>
      </c>
      <c r="M834" t="s">
        <v>21</v>
      </c>
      <c r="N834">
        <v>18761</v>
      </c>
      <c r="O834" t="s">
        <v>25</v>
      </c>
      <c r="P834" t="s">
        <v>23</v>
      </c>
    </row>
    <row r="835" spans="1:16" x14ac:dyDescent="0.3">
      <c r="A835" t="s">
        <v>865</v>
      </c>
      <c r="B835" t="s">
        <v>17</v>
      </c>
      <c r="C835" t="s">
        <v>18</v>
      </c>
      <c r="D835" t="s">
        <v>1034</v>
      </c>
      <c r="E835" t="s">
        <v>19</v>
      </c>
      <c r="F835" t="s">
        <v>18</v>
      </c>
      <c r="G835">
        <v>4239</v>
      </c>
      <c r="H835">
        <v>0</v>
      </c>
      <c r="I835">
        <v>692</v>
      </c>
      <c r="J835">
        <v>360</v>
      </c>
      <c r="K835">
        <v>1</v>
      </c>
      <c r="L835" t="s">
        <v>20</v>
      </c>
      <c r="M835" t="s">
        <v>21</v>
      </c>
      <c r="N835">
        <v>4239</v>
      </c>
      <c r="O835" t="s">
        <v>35</v>
      </c>
      <c r="P835" t="s">
        <v>23</v>
      </c>
    </row>
    <row r="836" spans="1:16" x14ac:dyDescent="0.3">
      <c r="A836" t="s">
        <v>866</v>
      </c>
      <c r="B836" t="s">
        <v>17</v>
      </c>
      <c r="C836" t="s">
        <v>27</v>
      </c>
      <c r="D836" t="s">
        <v>1034</v>
      </c>
      <c r="E836" t="s">
        <v>19</v>
      </c>
      <c r="F836" t="s">
        <v>18</v>
      </c>
      <c r="G836">
        <v>17242</v>
      </c>
      <c r="H836">
        <v>12946</v>
      </c>
      <c r="I836">
        <v>217</v>
      </c>
      <c r="J836">
        <v>240</v>
      </c>
      <c r="K836">
        <v>1</v>
      </c>
      <c r="L836" t="s">
        <v>20</v>
      </c>
      <c r="M836" t="s">
        <v>21</v>
      </c>
      <c r="N836">
        <v>30188</v>
      </c>
      <c r="O836" t="s">
        <v>25</v>
      </c>
      <c r="P836" t="s">
        <v>23</v>
      </c>
    </row>
    <row r="837" spans="1:16" x14ac:dyDescent="0.3">
      <c r="A837" t="s">
        <v>867</v>
      </c>
      <c r="B837" t="s">
        <v>17</v>
      </c>
      <c r="C837" t="s">
        <v>18</v>
      </c>
      <c r="D837" t="s">
        <v>1032</v>
      </c>
      <c r="E837" t="s">
        <v>19</v>
      </c>
      <c r="F837" t="s">
        <v>18</v>
      </c>
      <c r="G837">
        <v>2959</v>
      </c>
      <c r="H837">
        <v>2184</v>
      </c>
      <c r="I837">
        <v>155</v>
      </c>
      <c r="J837">
        <v>360</v>
      </c>
      <c r="K837">
        <v>0</v>
      </c>
      <c r="L837" t="s">
        <v>29</v>
      </c>
      <c r="M837" t="s">
        <v>53</v>
      </c>
      <c r="N837">
        <v>5143</v>
      </c>
      <c r="O837" t="s">
        <v>22</v>
      </c>
      <c r="P837" t="s">
        <v>32</v>
      </c>
    </row>
    <row r="838" spans="1:16" x14ac:dyDescent="0.3">
      <c r="A838" t="s">
        <v>868</v>
      </c>
      <c r="B838" t="s">
        <v>17</v>
      </c>
      <c r="C838" t="s">
        <v>18</v>
      </c>
      <c r="D838" t="s">
        <v>1033</v>
      </c>
      <c r="E838" t="s">
        <v>19</v>
      </c>
      <c r="F838" t="s">
        <v>18</v>
      </c>
      <c r="G838">
        <v>15496</v>
      </c>
      <c r="H838">
        <v>0</v>
      </c>
      <c r="I838">
        <v>411</v>
      </c>
      <c r="J838">
        <v>240</v>
      </c>
      <c r="K838">
        <v>1</v>
      </c>
      <c r="L838" t="s">
        <v>34</v>
      </c>
      <c r="M838" t="s">
        <v>21</v>
      </c>
      <c r="N838">
        <v>15496</v>
      </c>
      <c r="O838" t="s">
        <v>25</v>
      </c>
      <c r="P838" t="s">
        <v>23</v>
      </c>
    </row>
    <row r="839" spans="1:16" x14ac:dyDescent="0.3">
      <c r="A839" t="s">
        <v>869</v>
      </c>
      <c r="B839" t="s">
        <v>31</v>
      </c>
      <c r="C839" t="s">
        <v>18</v>
      </c>
      <c r="D839" t="s">
        <v>1035</v>
      </c>
      <c r="E839" t="s">
        <v>19</v>
      </c>
      <c r="F839" t="s">
        <v>18</v>
      </c>
      <c r="G839">
        <v>8857</v>
      </c>
      <c r="H839">
        <v>2166</v>
      </c>
      <c r="I839">
        <v>415</v>
      </c>
      <c r="J839">
        <v>120</v>
      </c>
      <c r="K839">
        <v>1</v>
      </c>
      <c r="L839" t="s">
        <v>20</v>
      </c>
      <c r="M839" t="s">
        <v>21</v>
      </c>
      <c r="N839">
        <v>11023</v>
      </c>
      <c r="O839" t="s">
        <v>25</v>
      </c>
      <c r="P839" t="s">
        <v>23</v>
      </c>
    </row>
    <row r="840" spans="1:16" x14ac:dyDescent="0.3">
      <c r="A840" t="s">
        <v>870</v>
      </c>
      <c r="B840" t="s">
        <v>31</v>
      </c>
      <c r="C840" t="s">
        <v>18</v>
      </c>
      <c r="D840" t="s">
        <v>1034</v>
      </c>
      <c r="E840" t="s">
        <v>19</v>
      </c>
      <c r="F840" t="s">
        <v>18</v>
      </c>
      <c r="G840">
        <v>15545</v>
      </c>
      <c r="H840">
        <v>9191</v>
      </c>
      <c r="I840">
        <v>664</v>
      </c>
      <c r="J840">
        <v>180</v>
      </c>
      <c r="K840">
        <v>1</v>
      </c>
      <c r="L840" t="s">
        <v>20</v>
      </c>
      <c r="M840" t="s">
        <v>21</v>
      </c>
      <c r="N840">
        <v>24736</v>
      </c>
      <c r="O840" t="s">
        <v>25</v>
      </c>
      <c r="P840" t="s">
        <v>23</v>
      </c>
    </row>
    <row r="841" spans="1:16" x14ac:dyDescent="0.3">
      <c r="A841" t="s">
        <v>871</v>
      </c>
      <c r="B841" t="s">
        <v>31</v>
      </c>
      <c r="C841" t="s">
        <v>27</v>
      </c>
      <c r="D841" t="s">
        <v>1032</v>
      </c>
      <c r="E841" t="s">
        <v>19</v>
      </c>
      <c r="F841" t="s">
        <v>27</v>
      </c>
      <c r="G841">
        <v>17859</v>
      </c>
      <c r="H841">
        <v>11341</v>
      </c>
      <c r="I841">
        <v>321</v>
      </c>
      <c r="J841">
        <v>120</v>
      </c>
      <c r="K841">
        <v>0</v>
      </c>
      <c r="L841" t="s">
        <v>20</v>
      </c>
      <c r="M841" t="s">
        <v>21</v>
      </c>
      <c r="N841">
        <v>29200</v>
      </c>
      <c r="O841" t="s">
        <v>25</v>
      </c>
      <c r="P841" t="s">
        <v>32</v>
      </c>
    </row>
    <row r="842" spans="1:16" x14ac:dyDescent="0.3">
      <c r="A842" t="s">
        <v>872</v>
      </c>
      <c r="B842" t="s">
        <v>17</v>
      </c>
      <c r="C842" t="s">
        <v>27</v>
      </c>
      <c r="D842" t="s">
        <v>1033</v>
      </c>
      <c r="E842" t="s">
        <v>28</v>
      </c>
      <c r="F842" t="s">
        <v>27</v>
      </c>
      <c r="G842">
        <v>17177</v>
      </c>
      <c r="H842">
        <v>0</v>
      </c>
      <c r="I842">
        <v>165</v>
      </c>
      <c r="J842">
        <v>360</v>
      </c>
      <c r="K842">
        <v>1</v>
      </c>
      <c r="L842" t="s">
        <v>34</v>
      </c>
      <c r="M842" t="s">
        <v>21</v>
      </c>
      <c r="N842">
        <v>17177</v>
      </c>
      <c r="O842" t="s">
        <v>25</v>
      </c>
      <c r="P842" t="s">
        <v>23</v>
      </c>
    </row>
    <row r="843" spans="1:16" x14ac:dyDescent="0.3">
      <c r="A843" t="s">
        <v>873</v>
      </c>
      <c r="B843" t="s">
        <v>31</v>
      </c>
      <c r="C843" t="s">
        <v>18</v>
      </c>
      <c r="D843" t="s">
        <v>1034</v>
      </c>
      <c r="E843" t="s">
        <v>28</v>
      </c>
      <c r="F843" t="s">
        <v>18</v>
      </c>
      <c r="G843">
        <v>7459</v>
      </c>
      <c r="H843">
        <v>13075</v>
      </c>
      <c r="I843">
        <v>411</v>
      </c>
      <c r="J843">
        <v>240</v>
      </c>
      <c r="K843">
        <v>1</v>
      </c>
      <c r="L843" t="s">
        <v>29</v>
      </c>
      <c r="M843" t="s">
        <v>21</v>
      </c>
      <c r="N843">
        <v>20534</v>
      </c>
      <c r="O843" t="s">
        <v>25</v>
      </c>
      <c r="P843" t="s">
        <v>23</v>
      </c>
    </row>
    <row r="844" spans="1:16" x14ac:dyDescent="0.3">
      <c r="A844" t="s">
        <v>874</v>
      </c>
      <c r="B844" t="s">
        <v>31</v>
      </c>
      <c r="C844" t="s">
        <v>27</v>
      </c>
      <c r="D844" t="s">
        <v>1033</v>
      </c>
      <c r="E844" t="s">
        <v>19</v>
      </c>
      <c r="F844" t="s">
        <v>27</v>
      </c>
      <c r="G844">
        <v>15218</v>
      </c>
      <c r="H844">
        <v>9500</v>
      </c>
      <c r="I844">
        <v>601</v>
      </c>
      <c r="J844">
        <v>360</v>
      </c>
      <c r="K844">
        <v>1</v>
      </c>
      <c r="L844" t="s">
        <v>34</v>
      </c>
      <c r="M844" t="s">
        <v>21</v>
      </c>
      <c r="N844">
        <v>24718</v>
      </c>
      <c r="O844" t="s">
        <v>25</v>
      </c>
      <c r="P844" t="s">
        <v>23</v>
      </c>
    </row>
    <row r="845" spans="1:16" x14ac:dyDescent="0.3">
      <c r="A845" t="s">
        <v>875</v>
      </c>
      <c r="B845" t="s">
        <v>17</v>
      </c>
      <c r="C845" t="s">
        <v>27</v>
      </c>
      <c r="D845" t="s">
        <v>1034</v>
      </c>
      <c r="E845" t="s">
        <v>28</v>
      </c>
      <c r="F845" t="s">
        <v>18</v>
      </c>
      <c r="G845">
        <v>24538</v>
      </c>
      <c r="H845">
        <v>0</v>
      </c>
      <c r="I845">
        <v>420</v>
      </c>
      <c r="J845">
        <v>120</v>
      </c>
      <c r="K845">
        <v>1</v>
      </c>
      <c r="L845" t="s">
        <v>20</v>
      </c>
      <c r="M845" t="s">
        <v>21</v>
      </c>
      <c r="N845">
        <v>24538</v>
      </c>
      <c r="O845" t="s">
        <v>25</v>
      </c>
      <c r="P845" t="s">
        <v>23</v>
      </c>
    </row>
    <row r="846" spans="1:16" x14ac:dyDescent="0.3">
      <c r="A846" t="s">
        <v>876</v>
      </c>
      <c r="B846" t="s">
        <v>31</v>
      </c>
      <c r="C846" t="s">
        <v>27</v>
      </c>
      <c r="D846" t="s">
        <v>1033</v>
      </c>
      <c r="E846" t="s">
        <v>19</v>
      </c>
      <c r="F846" t="s">
        <v>18</v>
      </c>
      <c r="G846">
        <v>12947</v>
      </c>
      <c r="H846">
        <v>0</v>
      </c>
      <c r="I846">
        <v>351</v>
      </c>
      <c r="J846">
        <v>300</v>
      </c>
      <c r="K846">
        <v>1</v>
      </c>
      <c r="L846" t="s">
        <v>34</v>
      </c>
      <c r="M846" t="s">
        <v>21</v>
      </c>
      <c r="N846">
        <v>12947</v>
      </c>
      <c r="O846" t="s">
        <v>25</v>
      </c>
      <c r="P846" t="s">
        <v>23</v>
      </c>
    </row>
    <row r="847" spans="1:16" x14ac:dyDescent="0.3">
      <c r="A847" t="s">
        <v>877</v>
      </c>
      <c r="B847" t="s">
        <v>31</v>
      </c>
      <c r="C847" t="s">
        <v>18</v>
      </c>
      <c r="D847" t="s">
        <v>1033</v>
      </c>
      <c r="E847" t="s">
        <v>19</v>
      </c>
      <c r="F847" t="s">
        <v>18</v>
      </c>
      <c r="G847">
        <v>6015</v>
      </c>
      <c r="H847">
        <v>0</v>
      </c>
      <c r="I847">
        <v>436</v>
      </c>
      <c r="J847">
        <v>120</v>
      </c>
      <c r="K847">
        <v>1</v>
      </c>
      <c r="L847" t="s">
        <v>29</v>
      </c>
      <c r="M847" t="s">
        <v>21</v>
      </c>
      <c r="N847">
        <v>6015</v>
      </c>
      <c r="O847" t="s">
        <v>22</v>
      </c>
      <c r="P847" t="s">
        <v>23</v>
      </c>
    </row>
    <row r="848" spans="1:16" x14ac:dyDescent="0.3">
      <c r="A848" t="s">
        <v>878</v>
      </c>
      <c r="B848" t="s">
        <v>31</v>
      </c>
      <c r="C848" t="s">
        <v>18</v>
      </c>
      <c r="D848" t="s">
        <v>1034</v>
      </c>
      <c r="E848" t="s">
        <v>19</v>
      </c>
      <c r="F848" t="s">
        <v>27</v>
      </c>
      <c r="G848">
        <v>20961</v>
      </c>
      <c r="H848">
        <v>0</v>
      </c>
      <c r="I848">
        <v>80</v>
      </c>
      <c r="J848">
        <v>180</v>
      </c>
      <c r="K848">
        <v>1</v>
      </c>
      <c r="L848" t="s">
        <v>20</v>
      </c>
      <c r="M848" t="s">
        <v>21</v>
      </c>
      <c r="N848">
        <v>20961</v>
      </c>
      <c r="O848" t="s">
        <v>25</v>
      </c>
      <c r="P848" t="s">
        <v>23</v>
      </c>
    </row>
    <row r="849" spans="1:16" x14ac:dyDescent="0.3">
      <c r="A849" t="s">
        <v>879</v>
      </c>
      <c r="B849" t="s">
        <v>17</v>
      </c>
      <c r="C849" t="s">
        <v>18</v>
      </c>
      <c r="D849" t="s">
        <v>1034</v>
      </c>
      <c r="E849" t="s">
        <v>28</v>
      </c>
      <c r="F849" t="s">
        <v>18</v>
      </c>
      <c r="G849">
        <v>7477</v>
      </c>
      <c r="H849">
        <v>0</v>
      </c>
      <c r="I849">
        <v>590</v>
      </c>
      <c r="J849">
        <v>240</v>
      </c>
      <c r="K849">
        <v>1</v>
      </c>
      <c r="L849" t="s">
        <v>34</v>
      </c>
      <c r="M849" t="s">
        <v>21</v>
      </c>
      <c r="N849">
        <v>7477</v>
      </c>
      <c r="O849" t="s">
        <v>22</v>
      </c>
      <c r="P849" t="s">
        <v>23</v>
      </c>
    </row>
    <row r="850" spans="1:16" x14ac:dyDescent="0.3">
      <c r="A850" t="s">
        <v>880</v>
      </c>
      <c r="B850" t="s">
        <v>31</v>
      </c>
      <c r="C850" t="s">
        <v>27</v>
      </c>
      <c r="D850" t="s">
        <v>1034</v>
      </c>
      <c r="E850" t="s">
        <v>28</v>
      </c>
      <c r="F850" t="s">
        <v>18</v>
      </c>
      <c r="G850">
        <v>6608</v>
      </c>
      <c r="H850">
        <v>0</v>
      </c>
      <c r="I850">
        <v>668</v>
      </c>
      <c r="J850">
        <v>180</v>
      </c>
      <c r="K850">
        <v>1</v>
      </c>
      <c r="L850" t="s">
        <v>20</v>
      </c>
      <c r="M850" t="s">
        <v>21</v>
      </c>
      <c r="N850">
        <v>6608</v>
      </c>
      <c r="O850" t="s">
        <v>22</v>
      </c>
      <c r="P850" t="s">
        <v>23</v>
      </c>
    </row>
    <row r="851" spans="1:16" x14ac:dyDescent="0.3">
      <c r="A851" t="s">
        <v>881</v>
      </c>
      <c r="B851" t="s">
        <v>31</v>
      </c>
      <c r="C851" t="s">
        <v>27</v>
      </c>
      <c r="D851" t="s">
        <v>1035</v>
      </c>
      <c r="E851" t="s">
        <v>28</v>
      </c>
      <c r="F851" t="s">
        <v>27</v>
      </c>
      <c r="G851">
        <v>24744</v>
      </c>
      <c r="H851">
        <v>4224</v>
      </c>
      <c r="I851">
        <v>210</v>
      </c>
      <c r="J851">
        <v>240</v>
      </c>
      <c r="K851">
        <v>0</v>
      </c>
      <c r="L851" t="s">
        <v>34</v>
      </c>
      <c r="M851" t="s">
        <v>21</v>
      </c>
      <c r="N851">
        <v>28968</v>
      </c>
      <c r="O851" t="s">
        <v>25</v>
      </c>
      <c r="P851" t="s">
        <v>32</v>
      </c>
    </row>
    <row r="852" spans="1:16" x14ac:dyDescent="0.3">
      <c r="A852" t="s">
        <v>882</v>
      </c>
      <c r="B852" t="s">
        <v>31</v>
      </c>
      <c r="C852" t="s">
        <v>18</v>
      </c>
      <c r="D852" t="s">
        <v>1033</v>
      </c>
      <c r="E852" t="s">
        <v>28</v>
      </c>
      <c r="F852" t="s">
        <v>18</v>
      </c>
      <c r="G852">
        <v>8673</v>
      </c>
      <c r="H852">
        <v>0</v>
      </c>
      <c r="I852">
        <v>622</v>
      </c>
      <c r="J852">
        <v>360</v>
      </c>
      <c r="K852">
        <v>0</v>
      </c>
      <c r="L852" t="s">
        <v>34</v>
      </c>
      <c r="M852" t="s">
        <v>21</v>
      </c>
      <c r="N852">
        <v>8673</v>
      </c>
      <c r="O852" t="s">
        <v>22</v>
      </c>
      <c r="P852" t="s">
        <v>32</v>
      </c>
    </row>
    <row r="853" spans="1:16" x14ac:dyDescent="0.3">
      <c r="A853" t="s">
        <v>883</v>
      </c>
      <c r="B853" t="s">
        <v>31</v>
      </c>
      <c r="C853" t="s">
        <v>27</v>
      </c>
      <c r="D853" t="s">
        <v>1032</v>
      </c>
      <c r="E853" t="s">
        <v>28</v>
      </c>
      <c r="F853" t="s">
        <v>27</v>
      </c>
      <c r="G853">
        <v>6900</v>
      </c>
      <c r="H853">
        <v>1395</v>
      </c>
      <c r="I853">
        <v>484</v>
      </c>
      <c r="J853">
        <v>180</v>
      </c>
      <c r="K853">
        <v>1</v>
      </c>
      <c r="L853" t="s">
        <v>20</v>
      </c>
      <c r="M853" t="s">
        <v>21</v>
      </c>
      <c r="N853">
        <v>8295</v>
      </c>
      <c r="O853" t="s">
        <v>22</v>
      </c>
      <c r="P853" t="s">
        <v>23</v>
      </c>
    </row>
    <row r="854" spans="1:16" x14ac:dyDescent="0.3">
      <c r="A854" t="s">
        <v>884</v>
      </c>
      <c r="B854" t="s">
        <v>17</v>
      </c>
      <c r="C854" t="s">
        <v>27</v>
      </c>
      <c r="D854" t="s">
        <v>1032</v>
      </c>
      <c r="E854" t="s">
        <v>19</v>
      </c>
      <c r="F854" t="s">
        <v>18</v>
      </c>
      <c r="G854">
        <v>10747</v>
      </c>
      <c r="H854">
        <v>0</v>
      </c>
      <c r="I854">
        <v>116</v>
      </c>
      <c r="J854">
        <v>180</v>
      </c>
      <c r="K854">
        <v>1</v>
      </c>
      <c r="L854" t="s">
        <v>29</v>
      </c>
      <c r="M854" t="s">
        <v>21</v>
      </c>
      <c r="N854">
        <v>10747</v>
      </c>
      <c r="O854" t="s">
        <v>25</v>
      </c>
      <c r="P854" t="s">
        <v>23</v>
      </c>
    </row>
    <row r="855" spans="1:16" x14ac:dyDescent="0.3">
      <c r="A855" t="s">
        <v>885</v>
      </c>
      <c r="B855" t="s">
        <v>17</v>
      </c>
      <c r="C855" t="s">
        <v>18</v>
      </c>
      <c r="D855" t="s">
        <v>1034</v>
      </c>
      <c r="E855" t="s">
        <v>19</v>
      </c>
      <c r="F855" t="s">
        <v>27</v>
      </c>
      <c r="G855">
        <v>4286</v>
      </c>
      <c r="H855">
        <v>0</v>
      </c>
      <c r="I855">
        <v>627</v>
      </c>
      <c r="J855">
        <v>300</v>
      </c>
      <c r="K855">
        <v>1</v>
      </c>
      <c r="L855" t="s">
        <v>29</v>
      </c>
      <c r="M855" t="s">
        <v>21</v>
      </c>
      <c r="N855">
        <v>4286</v>
      </c>
      <c r="O855" t="s">
        <v>35</v>
      </c>
      <c r="P855" t="s">
        <v>23</v>
      </c>
    </row>
    <row r="856" spans="1:16" x14ac:dyDescent="0.3">
      <c r="A856" t="s">
        <v>886</v>
      </c>
      <c r="B856" t="s">
        <v>17</v>
      </c>
      <c r="C856" t="s">
        <v>27</v>
      </c>
      <c r="D856" t="s">
        <v>1034</v>
      </c>
      <c r="E856" t="s">
        <v>28</v>
      </c>
      <c r="F856" t="s">
        <v>27</v>
      </c>
      <c r="G856">
        <v>14546</v>
      </c>
      <c r="H856">
        <v>0</v>
      </c>
      <c r="I856">
        <v>372</v>
      </c>
      <c r="J856">
        <v>300</v>
      </c>
      <c r="K856">
        <v>1</v>
      </c>
      <c r="L856" t="s">
        <v>20</v>
      </c>
      <c r="M856" t="s">
        <v>21</v>
      </c>
      <c r="N856">
        <v>14546</v>
      </c>
      <c r="O856" t="s">
        <v>25</v>
      </c>
      <c r="P856" t="s">
        <v>23</v>
      </c>
    </row>
    <row r="857" spans="1:16" x14ac:dyDescent="0.3">
      <c r="A857" t="s">
        <v>887</v>
      </c>
      <c r="B857" t="s">
        <v>17</v>
      </c>
      <c r="C857" t="s">
        <v>27</v>
      </c>
      <c r="D857" t="s">
        <v>1035</v>
      </c>
      <c r="E857" t="s">
        <v>19</v>
      </c>
      <c r="F857" t="s">
        <v>18</v>
      </c>
      <c r="G857">
        <v>2276</v>
      </c>
      <c r="H857">
        <v>10120</v>
      </c>
      <c r="I857">
        <v>538</v>
      </c>
      <c r="J857">
        <v>360</v>
      </c>
      <c r="K857">
        <v>0</v>
      </c>
      <c r="L857" t="s">
        <v>20</v>
      </c>
      <c r="M857" t="s">
        <v>21</v>
      </c>
      <c r="N857">
        <v>12396</v>
      </c>
      <c r="O857" t="s">
        <v>25</v>
      </c>
      <c r="P857" t="s">
        <v>32</v>
      </c>
    </row>
    <row r="858" spans="1:16" x14ac:dyDescent="0.3">
      <c r="A858" t="s">
        <v>888</v>
      </c>
      <c r="B858" t="s">
        <v>31</v>
      </c>
      <c r="C858" t="s">
        <v>18</v>
      </c>
      <c r="D858" t="s">
        <v>1033</v>
      </c>
      <c r="E858" t="s">
        <v>28</v>
      </c>
      <c r="F858" t="s">
        <v>18</v>
      </c>
      <c r="G858">
        <v>22011</v>
      </c>
      <c r="H858">
        <v>0</v>
      </c>
      <c r="I858">
        <v>270</v>
      </c>
      <c r="J858">
        <v>180</v>
      </c>
      <c r="K858">
        <v>1</v>
      </c>
      <c r="L858" t="s">
        <v>20</v>
      </c>
      <c r="M858" t="s">
        <v>21</v>
      </c>
      <c r="N858">
        <v>22011</v>
      </c>
      <c r="O858" t="s">
        <v>25</v>
      </c>
      <c r="P858" t="s">
        <v>23</v>
      </c>
    </row>
    <row r="859" spans="1:16" x14ac:dyDescent="0.3">
      <c r="A859" t="s">
        <v>889</v>
      </c>
      <c r="B859" t="s">
        <v>31</v>
      </c>
      <c r="C859" t="s">
        <v>27</v>
      </c>
      <c r="D859" t="s">
        <v>1033</v>
      </c>
      <c r="E859" t="s">
        <v>28</v>
      </c>
      <c r="F859" t="s">
        <v>27</v>
      </c>
      <c r="G859">
        <v>13306</v>
      </c>
      <c r="H859">
        <v>10714</v>
      </c>
      <c r="I859">
        <v>90</v>
      </c>
      <c r="J859">
        <v>300</v>
      </c>
      <c r="K859">
        <v>1</v>
      </c>
      <c r="L859" t="s">
        <v>34</v>
      </c>
      <c r="M859" t="s">
        <v>21</v>
      </c>
      <c r="N859">
        <v>24020</v>
      </c>
      <c r="O859" t="s">
        <v>25</v>
      </c>
      <c r="P859" t="s">
        <v>23</v>
      </c>
    </row>
    <row r="860" spans="1:16" x14ac:dyDescent="0.3">
      <c r="A860" t="s">
        <v>890</v>
      </c>
      <c r="B860" t="s">
        <v>17</v>
      </c>
      <c r="C860" t="s">
        <v>18</v>
      </c>
      <c r="D860" t="s">
        <v>1035</v>
      </c>
      <c r="E860" t="s">
        <v>19</v>
      </c>
      <c r="F860" t="s">
        <v>18</v>
      </c>
      <c r="G860">
        <v>6173</v>
      </c>
      <c r="H860">
        <v>13055</v>
      </c>
      <c r="I860">
        <v>610</v>
      </c>
      <c r="J860">
        <v>120</v>
      </c>
      <c r="K860">
        <v>1</v>
      </c>
      <c r="L860" t="s">
        <v>29</v>
      </c>
      <c r="M860" t="s">
        <v>21</v>
      </c>
      <c r="N860">
        <v>19228</v>
      </c>
      <c r="O860" t="s">
        <v>25</v>
      </c>
      <c r="P860" t="s">
        <v>23</v>
      </c>
    </row>
    <row r="861" spans="1:16" x14ac:dyDescent="0.3">
      <c r="A861" t="s">
        <v>891</v>
      </c>
      <c r="B861" t="s">
        <v>31</v>
      </c>
      <c r="C861" t="s">
        <v>18</v>
      </c>
      <c r="D861" t="s">
        <v>1032</v>
      </c>
      <c r="E861" t="s">
        <v>19</v>
      </c>
      <c r="F861" t="s">
        <v>18</v>
      </c>
      <c r="G861">
        <v>10678</v>
      </c>
      <c r="H861">
        <v>9945</v>
      </c>
      <c r="I861">
        <v>411</v>
      </c>
      <c r="J861">
        <v>120</v>
      </c>
      <c r="K861">
        <v>1</v>
      </c>
      <c r="L861" t="s">
        <v>34</v>
      </c>
      <c r="M861" t="s">
        <v>21</v>
      </c>
      <c r="N861">
        <v>20623</v>
      </c>
      <c r="O861" t="s">
        <v>25</v>
      </c>
      <c r="P861" t="s">
        <v>23</v>
      </c>
    </row>
    <row r="862" spans="1:16" x14ac:dyDescent="0.3">
      <c r="A862" t="s">
        <v>892</v>
      </c>
      <c r="B862" t="s">
        <v>31</v>
      </c>
      <c r="C862" t="s">
        <v>27</v>
      </c>
      <c r="D862" t="s">
        <v>1035</v>
      </c>
      <c r="E862" t="s">
        <v>28</v>
      </c>
      <c r="F862" t="s">
        <v>27</v>
      </c>
      <c r="G862">
        <v>22808</v>
      </c>
      <c r="H862">
        <v>0</v>
      </c>
      <c r="I862">
        <v>632</v>
      </c>
      <c r="J862">
        <v>300</v>
      </c>
      <c r="K862">
        <v>1</v>
      </c>
      <c r="L862" t="s">
        <v>29</v>
      </c>
      <c r="M862" t="s">
        <v>21</v>
      </c>
      <c r="N862">
        <v>22808</v>
      </c>
      <c r="O862" t="s">
        <v>25</v>
      </c>
      <c r="P862" t="s">
        <v>23</v>
      </c>
    </row>
    <row r="863" spans="1:16" x14ac:dyDescent="0.3">
      <c r="A863" t="s">
        <v>893</v>
      </c>
      <c r="B863" t="s">
        <v>31</v>
      </c>
      <c r="C863" t="s">
        <v>27</v>
      </c>
      <c r="D863" t="s">
        <v>1033</v>
      </c>
      <c r="E863" t="s">
        <v>28</v>
      </c>
      <c r="F863" t="s">
        <v>27</v>
      </c>
      <c r="G863">
        <v>18292</v>
      </c>
      <c r="H863">
        <v>14341</v>
      </c>
      <c r="I863">
        <v>432</v>
      </c>
      <c r="J863">
        <v>120</v>
      </c>
      <c r="K863">
        <v>1</v>
      </c>
      <c r="L863" t="s">
        <v>34</v>
      </c>
      <c r="M863" t="s">
        <v>21</v>
      </c>
      <c r="N863">
        <v>32633</v>
      </c>
      <c r="O863" t="s">
        <v>25</v>
      </c>
      <c r="P863" t="s">
        <v>23</v>
      </c>
    </row>
    <row r="864" spans="1:16" x14ac:dyDescent="0.3">
      <c r="A864" t="s">
        <v>894</v>
      </c>
      <c r="B864" t="s">
        <v>31</v>
      </c>
      <c r="C864" t="s">
        <v>27</v>
      </c>
      <c r="D864" t="s">
        <v>1034</v>
      </c>
      <c r="E864" t="s">
        <v>19</v>
      </c>
      <c r="F864" t="s">
        <v>18</v>
      </c>
      <c r="G864">
        <v>24429</v>
      </c>
      <c r="H864">
        <v>0</v>
      </c>
      <c r="I864">
        <v>208</v>
      </c>
      <c r="J864">
        <v>120</v>
      </c>
      <c r="K864">
        <v>1</v>
      </c>
      <c r="L864" t="s">
        <v>20</v>
      </c>
      <c r="M864" t="s">
        <v>21</v>
      </c>
      <c r="N864">
        <v>24429</v>
      </c>
      <c r="O864" t="s">
        <v>25</v>
      </c>
      <c r="P864" t="s">
        <v>23</v>
      </c>
    </row>
    <row r="865" spans="1:16" x14ac:dyDescent="0.3">
      <c r="A865" t="s">
        <v>895</v>
      </c>
      <c r="B865" t="s">
        <v>31</v>
      </c>
      <c r="C865" t="s">
        <v>18</v>
      </c>
      <c r="D865" t="s">
        <v>1033</v>
      </c>
      <c r="E865" t="s">
        <v>28</v>
      </c>
      <c r="F865" t="s">
        <v>27</v>
      </c>
      <c r="G865">
        <v>23426</v>
      </c>
      <c r="H865">
        <v>2031</v>
      </c>
      <c r="I865">
        <v>527</v>
      </c>
      <c r="J865">
        <v>300</v>
      </c>
      <c r="K865">
        <v>1</v>
      </c>
      <c r="L865" t="s">
        <v>29</v>
      </c>
      <c r="M865" t="s">
        <v>21</v>
      </c>
      <c r="N865">
        <v>25457</v>
      </c>
      <c r="O865" t="s">
        <v>25</v>
      </c>
      <c r="P865" t="s">
        <v>23</v>
      </c>
    </row>
    <row r="866" spans="1:16" x14ac:dyDescent="0.3">
      <c r="A866" t="s">
        <v>896</v>
      </c>
      <c r="B866" t="s">
        <v>17</v>
      </c>
      <c r="C866" t="s">
        <v>18</v>
      </c>
      <c r="D866" t="s">
        <v>1033</v>
      </c>
      <c r="E866" t="s">
        <v>19</v>
      </c>
      <c r="F866" t="s">
        <v>27</v>
      </c>
      <c r="G866">
        <v>15692</v>
      </c>
      <c r="H866">
        <v>3768</v>
      </c>
      <c r="I866">
        <v>386</v>
      </c>
      <c r="J866">
        <v>120</v>
      </c>
      <c r="K866">
        <v>1</v>
      </c>
      <c r="L866" t="s">
        <v>34</v>
      </c>
      <c r="M866" t="s">
        <v>21</v>
      </c>
      <c r="N866">
        <v>19460</v>
      </c>
      <c r="O866" t="s">
        <v>25</v>
      </c>
      <c r="P866" t="s">
        <v>23</v>
      </c>
    </row>
    <row r="867" spans="1:16" x14ac:dyDescent="0.3">
      <c r="A867" t="s">
        <v>897</v>
      </c>
      <c r="B867" t="s">
        <v>31</v>
      </c>
      <c r="C867" t="s">
        <v>18</v>
      </c>
      <c r="D867" t="s">
        <v>1035</v>
      </c>
      <c r="E867" t="s">
        <v>19</v>
      </c>
      <c r="F867" t="s">
        <v>27</v>
      </c>
      <c r="G867">
        <v>16395</v>
      </c>
      <c r="H867">
        <v>0</v>
      </c>
      <c r="I867">
        <v>531</v>
      </c>
      <c r="J867">
        <v>180</v>
      </c>
      <c r="K867">
        <v>1</v>
      </c>
      <c r="L867" t="s">
        <v>29</v>
      </c>
      <c r="M867" t="s">
        <v>21</v>
      </c>
      <c r="N867">
        <v>16395</v>
      </c>
      <c r="O867" t="s">
        <v>25</v>
      </c>
      <c r="P867" t="s">
        <v>23</v>
      </c>
    </row>
    <row r="868" spans="1:16" x14ac:dyDescent="0.3">
      <c r="A868" t="s">
        <v>898</v>
      </c>
      <c r="B868" t="s">
        <v>17</v>
      </c>
      <c r="C868" t="s">
        <v>27</v>
      </c>
      <c r="D868" t="s">
        <v>1034</v>
      </c>
      <c r="E868" t="s">
        <v>28</v>
      </c>
      <c r="F868" t="s">
        <v>27</v>
      </c>
      <c r="G868">
        <v>17012</v>
      </c>
      <c r="H868">
        <v>0</v>
      </c>
      <c r="I868">
        <v>266</v>
      </c>
      <c r="J868">
        <v>120</v>
      </c>
      <c r="K868">
        <v>0</v>
      </c>
      <c r="L868" t="s">
        <v>34</v>
      </c>
      <c r="M868" t="s">
        <v>21</v>
      </c>
      <c r="N868">
        <v>17012</v>
      </c>
      <c r="O868" t="s">
        <v>25</v>
      </c>
      <c r="P868" t="s">
        <v>32</v>
      </c>
    </row>
    <row r="869" spans="1:16" x14ac:dyDescent="0.3">
      <c r="A869" t="s">
        <v>899</v>
      </c>
      <c r="B869" t="s">
        <v>31</v>
      </c>
      <c r="C869" t="s">
        <v>27</v>
      </c>
      <c r="D869" t="s">
        <v>1032</v>
      </c>
      <c r="E869" t="s">
        <v>19</v>
      </c>
      <c r="F869" t="s">
        <v>18</v>
      </c>
      <c r="G869">
        <v>6144</v>
      </c>
      <c r="H869">
        <v>1634</v>
      </c>
      <c r="I869">
        <v>464</v>
      </c>
      <c r="J869">
        <v>120</v>
      </c>
      <c r="K869">
        <v>1</v>
      </c>
      <c r="L869" t="s">
        <v>34</v>
      </c>
      <c r="M869" t="s">
        <v>21</v>
      </c>
      <c r="N869">
        <v>7778</v>
      </c>
      <c r="O869" t="s">
        <v>22</v>
      </c>
      <c r="P869" t="s">
        <v>23</v>
      </c>
    </row>
    <row r="870" spans="1:16" x14ac:dyDescent="0.3">
      <c r="A870" t="s">
        <v>900</v>
      </c>
      <c r="B870" t="s">
        <v>31</v>
      </c>
      <c r="C870" t="s">
        <v>27</v>
      </c>
      <c r="D870" t="s">
        <v>1033</v>
      </c>
      <c r="E870" t="s">
        <v>28</v>
      </c>
      <c r="F870" t="s">
        <v>18</v>
      </c>
      <c r="G870">
        <v>3261</v>
      </c>
      <c r="H870">
        <v>2014</v>
      </c>
      <c r="I870">
        <v>400</v>
      </c>
      <c r="J870">
        <v>240</v>
      </c>
      <c r="K870">
        <v>1</v>
      </c>
      <c r="L870" t="s">
        <v>29</v>
      </c>
      <c r="M870" t="s">
        <v>21</v>
      </c>
      <c r="N870">
        <v>5275</v>
      </c>
      <c r="O870" t="s">
        <v>22</v>
      </c>
      <c r="P870" t="s">
        <v>23</v>
      </c>
    </row>
    <row r="871" spans="1:16" x14ac:dyDescent="0.3">
      <c r="A871" t="s">
        <v>901</v>
      </c>
      <c r="B871" t="s">
        <v>31</v>
      </c>
      <c r="C871" t="s">
        <v>27</v>
      </c>
      <c r="D871" t="s">
        <v>1035</v>
      </c>
      <c r="E871" t="s">
        <v>19</v>
      </c>
      <c r="F871" t="s">
        <v>27</v>
      </c>
      <c r="G871">
        <v>13122</v>
      </c>
      <c r="H871">
        <v>11852</v>
      </c>
      <c r="I871">
        <v>60</v>
      </c>
      <c r="J871">
        <v>360</v>
      </c>
      <c r="K871">
        <v>0</v>
      </c>
      <c r="L871" t="s">
        <v>34</v>
      </c>
      <c r="M871" t="s">
        <v>21</v>
      </c>
      <c r="N871">
        <v>24974</v>
      </c>
      <c r="O871" t="s">
        <v>25</v>
      </c>
      <c r="P871" t="s">
        <v>32</v>
      </c>
    </row>
    <row r="872" spans="1:16" x14ac:dyDescent="0.3">
      <c r="A872" t="s">
        <v>902</v>
      </c>
      <c r="B872" t="s">
        <v>17</v>
      </c>
      <c r="C872" t="s">
        <v>18</v>
      </c>
      <c r="D872" t="s">
        <v>1033</v>
      </c>
      <c r="E872" t="s">
        <v>28</v>
      </c>
      <c r="F872" t="s">
        <v>27</v>
      </c>
      <c r="G872">
        <v>1964</v>
      </c>
      <c r="H872">
        <v>2965</v>
      </c>
      <c r="I872">
        <v>201</v>
      </c>
      <c r="J872">
        <v>300</v>
      </c>
      <c r="K872">
        <v>0</v>
      </c>
      <c r="L872" t="s">
        <v>20</v>
      </c>
      <c r="M872" t="s">
        <v>53</v>
      </c>
      <c r="N872">
        <v>4929</v>
      </c>
      <c r="O872" t="s">
        <v>35</v>
      </c>
      <c r="P872" t="s">
        <v>32</v>
      </c>
    </row>
    <row r="873" spans="1:16" x14ac:dyDescent="0.3">
      <c r="A873" t="s">
        <v>903</v>
      </c>
      <c r="B873" t="s">
        <v>31</v>
      </c>
      <c r="C873" t="s">
        <v>27</v>
      </c>
      <c r="D873" t="s">
        <v>1034</v>
      </c>
      <c r="E873" t="s">
        <v>28</v>
      </c>
      <c r="F873" t="s">
        <v>18</v>
      </c>
      <c r="G873">
        <v>22284</v>
      </c>
      <c r="H873">
        <v>0</v>
      </c>
      <c r="I873">
        <v>87</v>
      </c>
      <c r="J873">
        <v>180</v>
      </c>
      <c r="K873">
        <v>1</v>
      </c>
      <c r="L873" t="s">
        <v>20</v>
      </c>
      <c r="M873" t="s">
        <v>21</v>
      </c>
      <c r="N873">
        <v>22284</v>
      </c>
      <c r="O873" t="s">
        <v>25</v>
      </c>
      <c r="P873" t="s">
        <v>23</v>
      </c>
    </row>
    <row r="874" spans="1:16" x14ac:dyDescent="0.3">
      <c r="A874" t="s">
        <v>904</v>
      </c>
      <c r="B874" t="s">
        <v>31</v>
      </c>
      <c r="C874" t="s">
        <v>18</v>
      </c>
      <c r="D874" t="s">
        <v>1035</v>
      </c>
      <c r="E874" t="s">
        <v>19</v>
      </c>
      <c r="F874" t="s">
        <v>27</v>
      </c>
      <c r="G874">
        <v>8373</v>
      </c>
      <c r="H874">
        <v>0</v>
      </c>
      <c r="I874">
        <v>429</v>
      </c>
      <c r="J874">
        <v>240</v>
      </c>
      <c r="K874">
        <v>1</v>
      </c>
      <c r="L874" t="s">
        <v>29</v>
      </c>
      <c r="M874" t="s">
        <v>21</v>
      </c>
      <c r="N874">
        <v>8373</v>
      </c>
      <c r="O874" t="s">
        <v>22</v>
      </c>
      <c r="P874" t="s">
        <v>23</v>
      </c>
    </row>
    <row r="875" spans="1:16" x14ac:dyDescent="0.3">
      <c r="A875" t="s">
        <v>905</v>
      </c>
      <c r="B875" t="s">
        <v>17</v>
      </c>
      <c r="C875" t="s">
        <v>27</v>
      </c>
      <c r="D875" t="s">
        <v>1035</v>
      </c>
      <c r="E875" t="s">
        <v>28</v>
      </c>
      <c r="F875" t="s">
        <v>27</v>
      </c>
      <c r="G875">
        <v>13025</v>
      </c>
      <c r="H875">
        <v>6270</v>
      </c>
      <c r="I875">
        <v>585</v>
      </c>
      <c r="J875">
        <v>240</v>
      </c>
      <c r="K875">
        <v>1</v>
      </c>
      <c r="L875" t="s">
        <v>20</v>
      </c>
      <c r="M875" t="s">
        <v>21</v>
      </c>
      <c r="N875">
        <v>19295</v>
      </c>
      <c r="O875" t="s">
        <v>25</v>
      </c>
      <c r="P875" t="s">
        <v>23</v>
      </c>
    </row>
    <row r="876" spans="1:16" x14ac:dyDescent="0.3">
      <c r="A876" t="s">
        <v>906</v>
      </c>
      <c r="B876" t="s">
        <v>31</v>
      </c>
      <c r="C876" t="s">
        <v>27</v>
      </c>
      <c r="D876" t="s">
        <v>1032</v>
      </c>
      <c r="E876" t="s">
        <v>19</v>
      </c>
      <c r="F876" t="s">
        <v>18</v>
      </c>
      <c r="G876">
        <v>19285</v>
      </c>
      <c r="H876">
        <v>7641</v>
      </c>
      <c r="I876">
        <v>341</v>
      </c>
      <c r="J876">
        <v>300</v>
      </c>
      <c r="K876">
        <v>1</v>
      </c>
      <c r="L876" t="s">
        <v>34</v>
      </c>
      <c r="M876" t="s">
        <v>21</v>
      </c>
      <c r="N876">
        <v>26926</v>
      </c>
      <c r="O876" t="s">
        <v>25</v>
      </c>
      <c r="P876" t="s">
        <v>23</v>
      </c>
    </row>
    <row r="877" spans="1:16" x14ac:dyDescent="0.3">
      <c r="A877" t="s">
        <v>907</v>
      </c>
      <c r="B877" t="s">
        <v>17</v>
      </c>
      <c r="C877" t="s">
        <v>18</v>
      </c>
      <c r="D877" t="s">
        <v>1034</v>
      </c>
      <c r="E877" t="s">
        <v>19</v>
      </c>
      <c r="F877" t="s">
        <v>18</v>
      </c>
      <c r="G877">
        <v>21693</v>
      </c>
      <c r="H877">
        <v>0</v>
      </c>
      <c r="I877">
        <v>558</v>
      </c>
      <c r="J877">
        <v>360</v>
      </c>
      <c r="K877">
        <v>0</v>
      </c>
      <c r="L877" t="s">
        <v>20</v>
      </c>
      <c r="M877" t="s">
        <v>21</v>
      </c>
      <c r="N877">
        <v>21693</v>
      </c>
      <c r="O877" t="s">
        <v>25</v>
      </c>
      <c r="P877" t="s">
        <v>32</v>
      </c>
    </row>
    <row r="878" spans="1:16" x14ac:dyDescent="0.3">
      <c r="A878" t="s">
        <v>908</v>
      </c>
      <c r="B878" t="s">
        <v>31</v>
      </c>
      <c r="C878" t="s">
        <v>18</v>
      </c>
      <c r="D878" t="s">
        <v>1032</v>
      </c>
      <c r="E878" t="s">
        <v>28</v>
      </c>
      <c r="F878" t="s">
        <v>18</v>
      </c>
      <c r="G878">
        <v>8803</v>
      </c>
      <c r="H878">
        <v>13228</v>
      </c>
      <c r="I878">
        <v>614</v>
      </c>
      <c r="J878">
        <v>300</v>
      </c>
      <c r="K878">
        <v>1</v>
      </c>
      <c r="L878" t="s">
        <v>29</v>
      </c>
      <c r="M878" t="s">
        <v>21</v>
      </c>
      <c r="N878">
        <v>22031</v>
      </c>
      <c r="O878" t="s">
        <v>25</v>
      </c>
      <c r="P878" t="s">
        <v>23</v>
      </c>
    </row>
    <row r="879" spans="1:16" x14ac:dyDescent="0.3">
      <c r="A879" t="s">
        <v>909</v>
      </c>
      <c r="B879" t="s">
        <v>17</v>
      </c>
      <c r="C879" t="s">
        <v>27</v>
      </c>
      <c r="D879" t="s">
        <v>1035</v>
      </c>
      <c r="E879" t="s">
        <v>28</v>
      </c>
      <c r="F879" t="s">
        <v>27</v>
      </c>
      <c r="G879">
        <v>1749</v>
      </c>
      <c r="H879">
        <v>0</v>
      </c>
      <c r="I879">
        <v>569</v>
      </c>
      <c r="J879">
        <v>240</v>
      </c>
      <c r="K879">
        <v>1</v>
      </c>
      <c r="L879" t="s">
        <v>34</v>
      </c>
      <c r="M879" t="s">
        <v>53</v>
      </c>
      <c r="N879">
        <v>1749</v>
      </c>
      <c r="O879" t="s">
        <v>35</v>
      </c>
      <c r="P879" t="s">
        <v>23</v>
      </c>
    </row>
    <row r="880" spans="1:16" x14ac:dyDescent="0.3">
      <c r="A880" t="s">
        <v>910</v>
      </c>
      <c r="B880" t="s">
        <v>31</v>
      </c>
      <c r="C880" t="s">
        <v>27</v>
      </c>
      <c r="D880" t="s">
        <v>1035</v>
      </c>
      <c r="E880" t="s">
        <v>19</v>
      </c>
      <c r="F880" t="s">
        <v>18</v>
      </c>
      <c r="G880">
        <v>15084</v>
      </c>
      <c r="H880">
        <v>0</v>
      </c>
      <c r="I880">
        <v>76</v>
      </c>
      <c r="J880">
        <v>180</v>
      </c>
      <c r="K880">
        <v>0</v>
      </c>
      <c r="L880" t="s">
        <v>34</v>
      </c>
      <c r="M880" t="s">
        <v>21</v>
      </c>
      <c r="N880">
        <v>15084</v>
      </c>
      <c r="O880" t="s">
        <v>25</v>
      </c>
      <c r="P880" t="s">
        <v>32</v>
      </c>
    </row>
    <row r="881" spans="1:16" x14ac:dyDescent="0.3">
      <c r="A881" t="s">
        <v>911</v>
      </c>
      <c r="B881" t="s">
        <v>31</v>
      </c>
      <c r="C881" t="s">
        <v>27</v>
      </c>
      <c r="D881" t="s">
        <v>1033</v>
      </c>
      <c r="E881" t="s">
        <v>28</v>
      </c>
      <c r="F881" t="s">
        <v>18</v>
      </c>
      <c r="G881">
        <v>19710</v>
      </c>
      <c r="H881">
        <v>0</v>
      </c>
      <c r="I881">
        <v>681</v>
      </c>
      <c r="J881">
        <v>300</v>
      </c>
      <c r="K881">
        <v>0</v>
      </c>
      <c r="L881" t="s">
        <v>34</v>
      </c>
      <c r="M881" t="s">
        <v>21</v>
      </c>
      <c r="N881">
        <v>19710</v>
      </c>
      <c r="O881" t="s">
        <v>25</v>
      </c>
      <c r="P881" t="s">
        <v>32</v>
      </c>
    </row>
    <row r="882" spans="1:16" x14ac:dyDescent="0.3">
      <c r="A882" t="s">
        <v>912</v>
      </c>
      <c r="B882" t="s">
        <v>31</v>
      </c>
      <c r="C882" t="s">
        <v>18</v>
      </c>
      <c r="D882" t="s">
        <v>1035</v>
      </c>
      <c r="E882" t="s">
        <v>19</v>
      </c>
      <c r="F882" t="s">
        <v>27</v>
      </c>
      <c r="G882">
        <v>11924</v>
      </c>
      <c r="H882">
        <v>0</v>
      </c>
      <c r="I882">
        <v>497</v>
      </c>
      <c r="J882">
        <v>180</v>
      </c>
      <c r="K882">
        <v>1</v>
      </c>
      <c r="L882" t="s">
        <v>20</v>
      </c>
      <c r="M882" t="s">
        <v>21</v>
      </c>
      <c r="N882">
        <v>11924</v>
      </c>
      <c r="O882" t="s">
        <v>25</v>
      </c>
      <c r="P882" t="s">
        <v>23</v>
      </c>
    </row>
    <row r="883" spans="1:16" x14ac:dyDescent="0.3">
      <c r="A883" t="s">
        <v>913</v>
      </c>
      <c r="B883" t="s">
        <v>17</v>
      </c>
      <c r="C883" t="s">
        <v>27</v>
      </c>
      <c r="D883" t="s">
        <v>1032</v>
      </c>
      <c r="E883" t="s">
        <v>19</v>
      </c>
      <c r="F883" t="s">
        <v>27</v>
      </c>
      <c r="G883">
        <v>8176</v>
      </c>
      <c r="H883">
        <v>0</v>
      </c>
      <c r="I883">
        <v>76</v>
      </c>
      <c r="J883">
        <v>300</v>
      </c>
      <c r="K883">
        <v>1</v>
      </c>
      <c r="L883" t="s">
        <v>34</v>
      </c>
      <c r="M883" t="s">
        <v>21</v>
      </c>
      <c r="N883">
        <v>8176</v>
      </c>
      <c r="O883" t="s">
        <v>22</v>
      </c>
      <c r="P883" t="s">
        <v>23</v>
      </c>
    </row>
    <row r="884" spans="1:16" x14ac:dyDescent="0.3">
      <c r="A884" t="s">
        <v>914</v>
      </c>
      <c r="B884" t="s">
        <v>17</v>
      </c>
      <c r="C884" t="s">
        <v>18</v>
      </c>
      <c r="D884" t="s">
        <v>1034</v>
      </c>
      <c r="E884" t="s">
        <v>28</v>
      </c>
      <c r="F884" t="s">
        <v>18</v>
      </c>
      <c r="G884">
        <v>5777</v>
      </c>
      <c r="H884">
        <v>7933</v>
      </c>
      <c r="I884">
        <v>241</v>
      </c>
      <c r="J884">
        <v>180</v>
      </c>
      <c r="K884">
        <v>1</v>
      </c>
      <c r="L884" t="s">
        <v>20</v>
      </c>
      <c r="M884" t="s">
        <v>21</v>
      </c>
      <c r="N884">
        <v>13710</v>
      </c>
      <c r="O884" t="s">
        <v>25</v>
      </c>
      <c r="P884" t="s">
        <v>23</v>
      </c>
    </row>
    <row r="885" spans="1:16" x14ac:dyDescent="0.3">
      <c r="A885" t="s">
        <v>915</v>
      </c>
      <c r="B885" t="s">
        <v>31</v>
      </c>
      <c r="C885" t="s">
        <v>18</v>
      </c>
      <c r="D885" t="s">
        <v>1033</v>
      </c>
      <c r="E885" t="s">
        <v>28</v>
      </c>
      <c r="F885" t="s">
        <v>27</v>
      </c>
      <c r="G885">
        <v>23102</v>
      </c>
      <c r="H885">
        <v>1347</v>
      </c>
      <c r="I885">
        <v>134</v>
      </c>
      <c r="J885">
        <v>180</v>
      </c>
      <c r="K885">
        <v>1</v>
      </c>
      <c r="L885" t="s">
        <v>34</v>
      </c>
      <c r="M885" t="s">
        <v>21</v>
      </c>
      <c r="N885">
        <v>24449</v>
      </c>
      <c r="O885" t="s">
        <v>25</v>
      </c>
      <c r="P885" t="s">
        <v>23</v>
      </c>
    </row>
    <row r="886" spans="1:16" x14ac:dyDescent="0.3">
      <c r="A886" t="s">
        <v>916</v>
      </c>
      <c r="B886" t="s">
        <v>17</v>
      </c>
      <c r="C886" t="s">
        <v>18</v>
      </c>
      <c r="D886" t="s">
        <v>1035</v>
      </c>
      <c r="E886" t="s">
        <v>19</v>
      </c>
      <c r="F886" t="s">
        <v>18</v>
      </c>
      <c r="G886">
        <v>6147</v>
      </c>
      <c r="H886">
        <v>5127</v>
      </c>
      <c r="I886">
        <v>234</v>
      </c>
      <c r="J886">
        <v>120</v>
      </c>
      <c r="K886">
        <v>1</v>
      </c>
      <c r="L886" t="s">
        <v>29</v>
      </c>
      <c r="M886" t="s">
        <v>21</v>
      </c>
      <c r="N886">
        <v>11274</v>
      </c>
      <c r="O886" t="s">
        <v>25</v>
      </c>
      <c r="P886" t="s">
        <v>23</v>
      </c>
    </row>
    <row r="887" spans="1:16" x14ac:dyDescent="0.3">
      <c r="A887" t="s">
        <v>917</v>
      </c>
      <c r="B887" t="s">
        <v>17</v>
      </c>
      <c r="C887" t="s">
        <v>27</v>
      </c>
      <c r="D887" t="s">
        <v>1034</v>
      </c>
      <c r="E887" t="s">
        <v>28</v>
      </c>
      <c r="F887" t="s">
        <v>18</v>
      </c>
      <c r="G887">
        <v>15057</v>
      </c>
      <c r="H887">
        <v>1705</v>
      </c>
      <c r="I887">
        <v>690</v>
      </c>
      <c r="J887">
        <v>120</v>
      </c>
      <c r="K887">
        <v>1</v>
      </c>
      <c r="L887" t="s">
        <v>29</v>
      </c>
      <c r="M887" t="s">
        <v>21</v>
      </c>
      <c r="N887">
        <v>16762</v>
      </c>
      <c r="O887" t="s">
        <v>25</v>
      </c>
      <c r="P887" t="s">
        <v>23</v>
      </c>
    </row>
    <row r="888" spans="1:16" x14ac:dyDescent="0.3">
      <c r="A888" t="s">
        <v>918</v>
      </c>
      <c r="B888" t="s">
        <v>31</v>
      </c>
      <c r="C888" t="s">
        <v>27</v>
      </c>
      <c r="D888" t="s">
        <v>1035</v>
      </c>
      <c r="E888" t="s">
        <v>19</v>
      </c>
      <c r="F888" t="s">
        <v>18</v>
      </c>
      <c r="G888">
        <v>11289</v>
      </c>
      <c r="H888">
        <v>0</v>
      </c>
      <c r="I888">
        <v>630</v>
      </c>
      <c r="J888">
        <v>360</v>
      </c>
      <c r="K888">
        <v>0</v>
      </c>
      <c r="L888" t="s">
        <v>20</v>
      </c>
      <c r="M888" t="s">
        <v>21</v>
      </c>
      <c r="N888">
        <v>11289</v>
      </c>
      <c r="O888" t="s">
        <v>25</v>
      </c>
      <c r="P888" t="s">
        <v>32</v>
      </c>
    </row>
    <row r="889" spans="1:16" x14ac:dyDescent="0.3">
      <c r="A889" t="s">
        <v>919</v>
      </c>
      <c r="B889" t="s">
        <v>31</v>
      </c>
      <c r="C889" t="s">
        <v>27</v>
      </c>
      <c r="D889" t="s">
        <v>1035</v>
      </c>
      <c r="E889" t="s">
        <v>19</v>
      </c>
      <c r="F889" t="s">
        <v>18</v>
      </c>
      <c r="G889">
        <v>18596</v>
      </c>
      <c r="H889">
        <v>12651</v>
      </c>
      <c r="I889">
        <v>174</v>
      </c>
      <c r="J889">
        <v>180</v>
      </c>
      <c r="K889">
        <v>1</v>
      </c>
      <c r="L889" t="s">
        <v>34</v>
      </c>
      <c r="M889" t="s">
        <v>21</v>
      </c>
      <c r="N889">
        <v>31247</v>
      </c>
      <c r="O889" t="s">
        <v>25</v>
      </c>
      <c r="P889" t="s">
        <v>23</v>
      </c>
    </row>
    <row r="890" spans="1:16" x14ac:dyDescent="0.3">
      <c r="A890" t="s">
        <v>920</v>
      </c>
      <c r="B890" t="s">
        <v>17</v>
      </c>
      <c r="C890" t="s">
        <v>18</v>
      </c>
      <c r="D890" t="s">
        <v>1033</v>
      </c>
      <c r="E890" t="s">
        <v>28</v>
      </c>
      <c r="F890" t="s">
        <v>18</v>
      </c>
      <c r="G890">
        <v>8609</v>
      </c>
      <c r="H890">
        <v>983</v>
      </c>
      <c r="I890">
        <v>191</v>
      </c>
      <c r="J890">
        <v>180</v>
      </c>
      <c r="K890">
        <v>1</v>
      </c>
      <c r="L890" t="s">
        <v>34</v>
      </c>
      <c r="M890" t="s">
        <v>21</v>
      </c>
      <c r="N890">
        <v>9592</v>
      </c>
      <c r="O890" t="s">
        <v>22</v>
      </c>
      <c r="P890" t="s">
        <v>23</v>
      </c>
    </row>
    <row r="891" spans="1:16" x14ac:dyDescent="0.3">
      <c r="A891" t="s">
        <v>921</v>
      </c>
      <c r="B891" t="s">
        <v>17</v>
      </c>
      <c r="C891" t="s">
        <v>27</v>
      </c>
      <c r="D891" t="s">
        <v>1032</v>
      </c>
      <c r="E891" t="s">
        <v>28</v>
      </c>
      <c r="F891" t="s">
        <v>18</v>
      </c>
      <c r="G891">
        <v>4513</v>
      </c>
      <c r="H891">
        <v>6210</v>
      </c>
      <c r="I891">
        <v>528</v>
      </c>
      <c r="J891">
        <v>300</v>
      </c>
      <c r="K891">
        <v>1</v>
      </c>
      <c r="L891" t="s">
        <v>29</v>
      </c>
      <c r="M891" t="s">
        <v>21</v>
      </c>
      <c r="N891">
        <v>10723</v>
      </c>
      <c r="O891" t="s">
        <v>25</v>
      </c>
      <c r="P891" t="s">
        <v>23</v>
      </c>
    </row>
    <row r="892" spans="1:16" x14ac:dyDescent="0.3">
      <c r="A892" t="s">
        <v>922</v>
      </c>
      <c r="B892" t="s">
        <v>17</v>
      </c>
      <c r="C892" t="s">
        <v>27</v>
      </c>
      <c r="D892" t="s">
        <v>1033</v>
      </c>
      <c r="E892" t="s">
        <v>19</v>
      </c>
      <c r="F892" t="s">
        <v>27</v>
      </c>
      <c r="G892">
        <v>14372</v>
      </c>
      <c r="H892">
        <v>2185</v>
      </c>
      <c r="I892">
        <v>219</v>
      </c>
      <c r="J892">
        <v>180</v>
      </c>
      <c r="K892">
        <v>0</v>
      </c>
      <c r="L892" t="s">
        <v>29</v>
      </c>
      <c r="M892" t="s">
        <v>21</v>
      </c>
      <c r="N892">
        <v>16557</v>
      </c>
      <c r="O892" t="s">
        <v>25</v>
      </c>
      <c r="P892" t="s">
        <v>32</v>
      </c>
    </row>
    <row r="893" spans="1:16" x14ac:dyDescent="0.3">
      <c r="A893" t="s">
        <v>923</v>
      </c>
      <c r="B893" t="s">
        <v>31</v>
      </c>
      <c r="C893" t="s">
        <v>27</v>
      </c>
      <c r="D893" t="s">
        <v>1035</v>
      </c>
      <c r="E893" t="s">
        <v>28</v>
      </c>
      <c r="F893" t="s">
        <v>27</v>
      </c>
      <c r="G893">
        <v>21911</v>
      </c>
      <c r="H893">
        <v>2262</v>
      </c>
      <c r="I893">
        <v>489</v>
      </c>
      <c r="J893">
        <v>180</v>
      </c>
      <c r="K893">
        <v>1</v>
      </c>
      <c r="L893" t="s">
        <v>29</v>
      </c>
      <c r="M893" t="s">
        <v>21</v>
      </c>
      <c r="N893">
        <v>24173</v>
      </c>
      <c r="O893" t="s">
        <v>25</v>
      </c>
      <c r="P893" t="s">
        <v>23</v>
      </c>
    </row>
    <row r="894" spans="1:16" x14ac:dyDescent="0.3">
      <c r="A894" t="s">
        <v>924</v>
      </c>
      <c r="B894" t="s">
        <v>17</v>
      </c>
      <c r="C894" t="s">
        <v>27</v>
      </c>
      <c r="D894" t="s">
        <v>1033</v>
      </c>
      <c r="E894" t="s">
        <v>19</v>
      </c>
      <c r="F894" t="s">
        <v>27</v>
      </c>
      <c r="G894">
        <v>20730</v>
      </c>
      <c r="H894">
        <v>7214</v>
      </c>
      <c r="I894">
        <v>668</v>
      </c>
      <c r="J894">
        <v>360</v>
      </c>
      <c r="K894">
        <v>1</v>
      </c>
      <c r="L894" t="s">
        <v>20</v>
      </c>
      <c r="M894" t="s">
        <v>21</v>
      </c>
      <c r="N894">
        <v>27944</v>
      </c>
      <c r="O894" t="s">
        <v>25</v>
      </c>
      <c r="P894" t="s">
        <v>23</v>
      </c>
    </row>
    <row r="895" spans="1:16" x14ac:dyDescent="0.3">
      <c r="A895" t="s">
        <v>925</v>
      </c>
      <c r="B895" t="s">
        <v>17</v>
      </c>
      <c r="C895" t="s">
        <v>18</v>
      </c>
      <c r="D895" t="s">
        <v>1032</v>
      </c>
      <c r="E895" t="s">
        <v>28</v>
      </c>
      <c r="F895" t="s">
        <v>18</v>
      </c>
      <c r="G895">
        <v>13222</v>
      </c>
      <c r="H895">
        <v>0</v>
      </c>
      <c r="I895">
        <v>270</v>
      </c>
      <c r="J895">
        <v>240</v>
      </c>
      <c r="K895">
        <v>1</v>
      </c>
      <c r="L895" t="s">
        <v>29</v>
      </c>
      <c r="M895" t="s">
        <v>21</v>
      </c>
      <c r="N895">
        <v>13222</v>
      </c>
      <c r="O895" t="s">
        <v>25</v>
      </c>
      <c r="P895" t="s">
        <v>23</v>
      </c>
    </row>
    <row r="896" spans="1:16" x14ac:dyDescent="0.3">
      <c r="A896" t="s">
        <v>926</v>
      </c>
      <c r="B896" t="s">
        <v>17</v>
      </c>
      <c r="C896" t="s">
        <v>18</v>
      </c>
      <c r="D896" t="s">
        <v>1032</v>
      </c>
      <c r="E896" t="s">
        <v>19</v>
      </c>
      <c r="F896" t="s">
        <v>27</v>
      </c>
      <c r="G896">
        <v>8504</v>
      </c>
      <c r="H896">
        <v>8124</v>
      </c>
      <c r="I896">
        <v>288</v>
      </c>
      <c r="J896">
        <v>360</v>
      </c>
      <c r="K896">
        <v>1</v>
      </c>
      <c r="L896" t="s">
        <v>29</v>
      </c>
      <c r="M896" t="s">
        <v>21</v>
      </c>
      <c r="N896">
        <v>16628</v>
      </c>
      <c r="O896" t="s">
        <v>25</v>
      </c>
      <c r="P896" t="s">
        <v>23</v>
      </c>
    </row>
    <row r="897" spans="1:16" x14ac:dyDescent="0.3">
      <c r="A897" t="s">
        <v>927</v>
      </c>
      <c r="B897" t="s">
        <v>17</v>
      </c>
      <c r="C897" t="s">
        <v>18</v>
      </c>
      <c r="D897" t="s">
        <v>1034</v>
      </c>
      <c r="E897" t="s">
        <v>28</v>
      </c>
      <c r="F897" t="s">
        <v>18</v>
      </c>
      <c r="G897">
        <v>20307</v>
      </c>
      <c r="H897">
        <v>11088</v>
      </c>
      <c r="I897">
        <v>495</v>
      </c>
      <c r="J897">
        <v>240</v>
      </c>
      <c r="K897">
        <v>0</v>
      </c>
      <c r="L897" t="s">
        <v>20</v>
      </c>
      <c r="M897" t="s">
        <v>21</v>
      </c>
      <c r="N897">
        <v>31395</v>
      </c>
      <c r="O897" t="s">
        <v>25</v>
      </c>
      <c r="P897" t="s">
        <v>32</v>
      </c>
    </row>
    <row r="898" spans="1:16" x14ac:dyDescent="0.3">
      <c r="A898" t="s">
        <v>928</v>
      </c>
      <c r="B898" t="s">
        <v>17</v>
      </c>
      <c r="C898" t="s">
        <v>18</v>
      </c>
      <c r="D898" t="s">
        <v>1035</v>
      </c>
      <c r="E898" t="s">
        <v>28</v>
      </c>
      <c r="F898" t="s">
        <v>18</v>
      </c>
      <c r="G898">
        <v>10492</v>
      </c>
      <c r="H898">
        <v>0</v>
      </c>
      <c r="I898">
        <v>177</v>
      </c>
      <c r="J898">
        <v>300</v>
      </c>
      <c r="K898">
        <v>1</v>
      </c>
      <c r="L898" t="s">
        <v>29</v>
      </c>
      <c r="M898" t="s">
        <v>21</v>
      </c>
      <c r="N898">
        <v>10492</v>
      </c>
      <c r="O898" t="s">
        <v>25</v>
      </c>
      <c r="P898" t="s">
        <v>23</v>
      </c>
    </row>
    <row r="899" spans="1:16" x14ac:dyDescent="0.3">
      <c r="A899" t="s">
        <v>929</v>
      </c>
      <c r="B899" t="s">
        <v>31</v>
      </c>
      <c r="C899" t="s">
        <v>18</v>
      </c>
      <c r="D899" t="s">
        <v>1034</v>
      </c>
      <c r="E899" t="s">
        <v>28</v>
      </c>
      <c r="F899" t="s">
        <v>18</v>
      </c>
      <c r="G899">
        <v>22591</v>
      </c>
      <c r="H899">
        <v>0</v>
      </c>
      <c r="I899">
        <v>522</v>
      </c>
      <c r="J899">
        <v>240</v>
      </c>
      <c r="K899">
        <v>1</v>
      </c>
      <c r="L899" t="s">
        <v>29</v>
      </c>
      <c r="M899" t="s">
        <v>21</v>
      </c>
      <c r="N899">
        <v>22591</v>
      </c>
      <c r="O899" t="s">
        <v>25</v>
      </c>
      <c r="P899" t="s">
        <v>23</v>
      </c>
    </row>
    <row r="900" spans="1:16" x14ac:dyDescent="0.3">
      <c r="A900" t="s">
        <v>930</v>
      </c>
      <c r="B900" t="s">
        <v>17</v>
      </c>
      <c r="C900" t="s">
        <v>18</v>
      </c>
      <c r="D900" t="s">
        <v>1032</v>
      </c>
      <c r="E900" t="s">
        <v>19</v>
      </c>
      <c r="F900" t="s">
        <v>18</v>
      </c>
      <c r="G900">
        <v>16897</v>
      </c>
      <c r="H900">
        <v>2058</v>
      </c>
      <c r="I900">
        <v>358</v>
      </c>
      <c r="J900">
        <v>240</v>
      </c>
      <c r="K900">
        <v>1</v>
      </c>
      <c r="L900" t="s">
        <v>29</v>
      </c>
      <c r="M900" t="s">
        <v>21</v>
      </c>
      <c r="N900">
        <v>18955</v>
      </c>
      <c r="O900" t="s">
        <v>25</v>
      </c>
      <c r="P900" t="s">
        <v>23</v>
      </c>
    </row>
    <row r="901" spans="1:16" x14ac:dyDescent="0.3">
      <c r="A901" t="s">
        <v>931</v>
      </c>
      <c r="B901" t="s">
        <v>31</v>
      </c>
      <c r="C901" t="s">
        <v>18</v>
      </c>
      <c r="D901" t="s">
        <v>1032</v>
      </c>
      <c r="E901" t="s">
        <v>28</v>
      </c>
      <c r="F901" t="s">
        <v>18</v>
      </c>
      <c r="G901">
        <v>14388</v>
      </c>
      <c r="H901">
        <v>5389</v>
      </c>
      <c r="I901">
        <v>555</v>
      </c>
      <c r="J901">
        <v>120</v>
      </c>
      <c r="K901">
        <v>0</v>
      </c>
      <c r="L901" t="s">
        <v>34</v>
      </c>
      <c r="M901" t="s">
        <v>21</v>
      </c>
      <c r="N901">
        <v>19777</v>
      </c>
      <c r="O901" t="s">
        <v>25</v>
      </c>
      <c r="P901" t="s">
        <v>32</v>
      </c>
    </row>
    <row r="902" spans="1:16" x14ac:dyDescent="0.3">
      <c r="A902" t="s">
        <v>932</v>
      </c>
      <c r="B902" t="s">
        <v>17</v>
      </c>
      <c r="C902" t="s">
        <v>18</v>
      </c>
      <c r="D902" t="s">
        <v>1033</v>
      </c>
      <c r="E902" t="s">
        <v>19</v>
      </c>
      <c r="F902" t="s">
        <v>18</v>
      </c>
      <c r="G902">
        <v>6046</v>
      </c>
      <c r="H902">
        <v>2222</v>
      </c>
      <c r="I902">
        <v>496</v>
      </c>
      <c r="J902">
        <v>180</v>
      </c>
      <c r="K902">
        <v>1</v>
      </c>
      <c r="L902" t="s">
        <v>20</v>
      </c>
      <c r="M902" t="s">
        <v>21</v>
      </c>
      <c r="N902">
        <v>8268</v>
      </c>
      <c r="O902" t="s">
        <v>22</v>
      </c>
      <c r="P902" t="s">
        <v>23</v>
      </c>
    </row>
    <row r="903" spans="1:16" x14ac:dyDescent="0.3">
      <c r="A903" t="s">
        <v>933</v>
      </c>
      <c r="B903" t="s">
        <v>31</v>
      </c>
      <c r="C903" t="s">
        <v>18</v>
      </c>
      <c r="D903" t="s">
        <v>1034</v>
      </c>
      <c r="E903" t="s">
        <v>28</v>
      </c>
      <c r="F903" t="s">
        <v>18</v>
      </c>
      <c r="G903">
        <v>5130</v>
      </c>
      <c r="H903">
        <v>1286</v>
      </c>
      <c r="I903">
        <v>126</v>
      </c>
      <c r="J903">
        <v>240</v>
      </c>
      <c r="K903">
        <v>1</v>
      </c>
      <c r="L903" t="s">
        <v>34</v>
      </c>
      <c r="M903" t="s">
        <v>21</v>
      </c>
      <c r="N903">
        <v>6416</v>
      </c>
      <c r="O903" t="s">
        <v>22</v>
      </c>
      <c r="P903" t="s">
        <v>23</v>
      </c>
    </row>
    <row r="904" spans="1:16" x14ac:dyDescent="0.3">
      <c r="A904" t="s">
        <v>934</v>
      </c>
      <c r="B904" t="s">
        <v>31</v>
      </c>
      <c r="C904" t="s">
        <v>27</v>
      </c>
      <c r="D904" t="s">
        <v>1033</v>
      </c>
      <c r="E904" t="s">
        <v>19</v>
      </c>
      <c r="F904" t="s">
        <v>27</v>
      </c>
      <c r="G904">
        <v>5428</v>
      </c>
      <c r="H904">
        <v>2569</v>
      </c>
      <c r="I904">
        <v>201</v>
      </c>
      <c r="J904">
        <v>360</v>
      </c>
      <c r="K904">
        <v>0</v>
      </c>
      <c r="L904" t="s">
        <v>29</v>
      </c>
      <c r="M904" t="s">
        <v>21</v>
      </c>
      <c r="N904">
        <v>7997</v>
      </c>
      <c r="O904" t="s">
        <v>22</v>
      </c>
      <c r="P904" t="s">
        <v>32</v>
      </c>
    </row>
    <row r="905" spans="1:16" x14ac:dyDescent="0.3">
      <c r="A905" t="s">
        <v>935</v>
      </c>
      <c r="B905" t="s">
        <v>31</v>
      </c>
      <c r="C905" t="s">
        <v>18</v>
      </c>
      <c r="D905" t="s">
        <v>1033</v>
      </c>
      <c r="E905" t="s">
        <v>28</v>
      </c>
      <c r="F905" t="s">
        <v>27</v>
      </c>
      <c r="G905">
        <v>10692</v>
      </c>
      <c r="H905">
        <v>5774</v>
      </c>
      <c r="I905">
        <v>281</v>
      </c>
      <c r="J905">
        <v>120</v>
      </c>
      <c r="K905">
        <v>1</v>
      </c>
      <c r="L905" t="s">
        <v>29</v>
      </c>
      <c r="M905" t="s">
        <v>21</v>
      </c>
      <c r="N905">
        <v>16466</v>
      </c>
      <c r="O905" t="s">
        <v>25</v>
      </c>
      <c r="P905" t="s">
        <v>23</v>
      </c>
    </row>
    <row r="906" spans="1:16" x14ac:dyDescent="0.3">
      <c r="A906" t="s">
        <v>936</v>
      </c>
      <c r="B906" t="s">
        <v>17</v>
      </c>
      <c r="C906" t="s">
        <v>27</v>
      </c>
      <c r="D906" t="s">
        <v>1033</v>
      </c>
      <c r="E906" t="s">
        <v>19</v>
      </c>
      <c r="F906" t="s">
        <v>18</v>
      </c>
      <c r="G906">
        <v>3962</v>
      </c>
      <c r="H906">
        <v>0</v>
      </c>
      <c r="I906">
        <v>267</v>
      </c>
      <c r="J906">
        <v>120</v>
      </c>
      <c r="K906">
        <v>1</v>
      </c>
      <c r="L906" t="s">
        <v>29</v>
      </c>
      <c r="M906" t="s">
        <v>53</v>
      </c>
      <c r="N906">
        <v>3962</v>
      </c>
      <c r="O906" t="s">
        <v>35</v>
      </c>
      <c r="P906" t="s">
        <v>23</v>
      </c>
    </row>
    <row r="907" spans="1:16" x14ac:dyDescent="0.3">
      <c r="A907" t="s">
        <v>937</v>
      </c>
      <c r="B907" t="s">
        <v>31</v>
      </c>
      <c r="C907" t="s">
        <v>18</v>
      </c>
      <c r="D907" t="s">
        <v>1035</v>
      </c>
      <c r="E907" t="s">
        <v>19</v>
      </c>
      <c r="F907" t="s">
        <v>27</v>
      </c>
      <c r="G907">
        <v>8337</v>
      </c>
      <c r="H907">
        <v>13836</v>
      </c>
      <c r="I907">
        <v>369</v>
      </c>
      <c r="J907">
        <v>300</v>
      </c>
      <c r="K907">
        <v>1</v>
      </c>
      <c r="L907" t="s">
        <v>34</v>
      </c>
      <c r="M907" t="s">
        <v>21</v>
      </c>
      <c r="N907">
        <v>22173</v>
      </c>
      <c r="O907" t="s">
        <v>25</v>
      </c>
      <c r="P907" t="s">
        <v>23</v>
      </c>
    </row>
    <row r="908" spans="1:16" x14ac:dyDescent="0.3">
      <c r="A908" t="s">
        <v>938</v>
      </c>
      <c r="B908" t="s">
        <v>17</v>
      </c>
      <c r="C908" t="s">
        <v>18</v>
      </c>
      <c r="D908" t="s">
        <v>1033</v>
      </c>
      <c r="E908" t="s">
        <v>28</v>
      </c>
      <c r="F908" t="s">
        <v>27</v>
      </c>
      <c r="G908">
        <v>16325</v>
      </c>
      <c r="H908">
        <v>0</v>
      </c>
      <c r="I908">
        <v>459</v>
      </c>
      <c r="J908">
        <v>180</v>
      </c>
      <c r="K908">
        <v>1</v>
      </c>
      <c r="L908" t="s">
        <v>29</v>
      </c>
      <c r="M908" t="s">
        <v>21</v>
      </c>
      <c r="N908">
        <v>16325</v>
      </c>
      <c r="O908" t="s">
        <v>25</v>
      </c>
      <c r="P908" t="s">
        <v>23</v>
      </c>
    </row>
    <row r="909" spans="1:16" x14ac:dyDescent="0.3">
      <c r="A909" t="s">
        <v>939</v>
      </c>
      <c r="B909" t="s">
        <v>17</v>
      </c>
      <c r="C909" t="s">
        <v>27</v>
      </c>
      <c r="D909" t="s">
        <v>1034</v>
      </c>
      <c r="E909" t="s">
        <v>19</v>
      </c>
      <c r="F909" t="s">
        <v>27</v>
      </c>
      <c r="G909">
        <v>5011</v>
      </c>
      <c r="H909">
        <v>0</v>
      </c>
      <c r="I909">
        <v>296</v>
      </c>
      <c r="J909">
        <v>120</v>
      </c>
      <c r="K909">
        <v>0</v>
      </c>
      <c r="L909" t="s">
        <v>20</v>
      </c>
      <c r="M909" t="s">
        <v>53</v>
      </c>
      <c r="N909">
        <v>5011</v>
      </c>
      <c r="O909" t="s">
        <v>22</v>
      </c>
      <c r="P909" t="s">
        <v>32</v>
      </c>
    </row>
    <row r="910" spans="1:16" x14ac:dyDescent="0.3">
      <c r="A910" t="s">
        <v>940</v>
      </c>
      <c r="B910" t="s">
        <v>31</v>
      </c>
      <c r="C910" t="s">
        <v>18</v>
      </c>
      <c r="D910" t="s">
        <v>1035</v>
      </c>
      <c r="E910" t="s">
        <v>28</v>
      </c>
      <c r="F910" t="s">
        <v>27</v>
      </c>
      <c r="G910">
        <v>10202</v>
      </c>
      <c r="H910">
        <v>0</v>
      </c>
      <c r="I910">
        <v>412</v>
      </c>
      <c r="J910">
        <v>300</v>
      </c>
      <c r="K910">
        <v>1</v>
      </c>
      <c r="L910" t="s">
        <v>29</v>
      </c>
      <c r="M910" t="s">
        <v>21</v>
      </c>
      <c r="N910">
        <v>10202</v>
      </c>
      <c r="O910" t="s">
        <v>25</v>
      </c>
      <c r="P910" t="s">
        <v>23</v>
      </c>
    </row>
    <row r="911" spans="1:16" x14ac:dyDescent="0.3">
      <c r="A911" t="s">
        <v>941</v>
      </c>
      <c r="B911" t="s">
        <v>31</v>
      </c>
      <c r="C911" t="s">
        <v>27</v>
      </c>
      <c r="D911" t="s">
        <v>1034</v>
      </c>
      <c r="E911" t="s">
        <v>28</v>
      </c>
      <c r="F911" t="s">
        <v>27</v>
      </c>
      <c r="G911">
        <v>13616</v>
      </c>
      <c r="H911">
        <v>0</v>
      </c>
      <c r="I911">
        <v>441</v>
      </c>
      <c r="J911">
        <v>300</v>
      </c>
      <c r="K911">
        <v>1</v>
      </c>
      <c r="L911" t="s">
        <v>20</v>
      </c>
      <c r="M911" t="s">
        <v>21</v>
      </c>
      <c r="N911">
        <v>13616</v>
      </c>
      <c r="O911" t="s">
        <v>25</v>
      </c>
      <c r="P911" t="s">
        <v>23</v>
      </c>
    </row>
    <row r="912" spans="1:16" x14ac:dyDescent="0.3">
      <c r="A912" t="s">
        <v>942</v>
      </c>
      <c r="B912" t="s">
        <v>31</v>
      </c>
      <c r="C912" t="s">
        <v>18</v>
      </c>
      <c r="D912" t="s">
        <v>1032</v>
      </c>
      <c r="E912" t="s">
        <v>28</v>
      </c>
      <c r="F912" t="s">
        <v>27</v>
      </c>
      <c r="G912">
        <v>5077</v>
      </c>
      <c r="H912">
        <v>0</v>
      </c>
      <c r="I912">
        <v>304</v>
      </c>
      <c r="J912">
        <v>120</v>
      </c>
      <c r="K912">
        <v>1</v>
      </c>
      <c r="L912" t="s">
        <v>20</v>
      </c>
      <c r="M912" t="s">
        <v>53</v>
      </c>
      <c r="N912">
        <v>5077</v>
      </c>
      <c r="O912" t="s">
        <v>22</v>
      </c>
      <c r="P912" t="s">
        <v>23</v>
      </c>
    </row>
    <row r="913" spans="1:16" x14ac:dyDescent="0.3">
      <c r="A913" t="s">
        <v>943</v>
      </c>
      <c r="B913" t="s">
        <v>17</v>
      </c>
      <c r="C913" t="s">
        <v>27</v>
      </c>
      <c r="D913" t="s">
        <v>1033</v>
      </c>
      <c r="E913" t="s">
        <v>19</v>
      </c>
      <c r="F913" t="s">
        <v>18</v>
      </c>
      <c r="G913">
        <v>10526</v>
      </c>
      <c r="H913">
        <v>4210</v>
      </c>
      <c r="I913">
        <v>451</v>
      </c>
      <c r="J913">
        <v>300</v>
      </c>
      <c r="K913">
        <v>1</v>
      </c>
      <c r="L913" t="s">
        <v>34</v>
      </c>
      <c r="M913" t="s">
        <v>21</v>
      </c>
      <c r="N913">
        <v>14736</v>
      </c>
      <c r="O913" t="s">
        <v>25</v>
      </c>
      <c r="P913" t="s">
        <v>23</v>
      </c>
    </row>
    <row r="914" spans="1:16" x14ac:dyDescent="0.3">
      <c r="A914" t="s">
        <v>944</v>
      </c>
      <c r="B914" t="s">
        <v>31</v>
      </c>
      <c r="C914" t="s">
        <v>27</v>
      </c>
      <c r="D914" t="s">
        <v>1033</v>
      </c>
      <c r="E914" t="s">
        <v>19</v>
      </c>
      <c r="F914" t="s">
        <v>18</v>
      </c>
      <c r="G914">
        <v>12891</v>
      </c>
      <c r="H914">
        <v>10934</v>
      </c>
      <c r="I914">
        <v>660</v>
      </c>
      <c r="J914">
        <v>240</v>
      </c>
      <c r="K914">
        <v>1</v>
      </c>
      <c r="L914" t="s">
        <v>20</v>
      </c>
      <c r="M914" t="s">
        <v>21</v>
      </c>
      <c r="N914">
        <v>23825</v>
      </c>
      <c r="O914" t="s">
        <v>25</v>
      </c>
      <c r="P914" t="s">
        <v>23</v>
      </c>
    </row>
    <row r="915" spans="1:16" x14ac:dyDescent="0.3">
      <c r="A915" t="s">
        <v>945</v>
      </c>
      <c r="B915" t="s">
        <v>17</v>
      </c>
      <c r="C915" t="s">
        <v>27</v>
      </c>
      <c r="D915" t="s">
        <v>1032</v>
      </c>
      <c r="E915" t="s">
        <v>19</v>
      </c>
      <c r="F915" t="s">
        <v>18</v>
      </c>
      <c r="G915">
        <v>11825</v>
      </c>
      <c r="H915">
        <v>0</v>
      </c>
      <c r="I915">
        <v>220</v>
      </c>
      <c r="J915">
        <v>180</v>
      </c>
      <c r="K915">
        <v>1</v>
      </c>
      <c r="L915" t="s">
        <v>29</v>
      </c>
      <c r="M915" t="s">
        <v>21</v>
      </c>
      <c r="N915">
        <v>11825</v>
      </c>
      <c r="O915" t="s">
        <v>25</v>
      </c>
      <c r="P915" t="s">
        <v>23</v>
      </c>
    </row>
    <row r="916" spans="1:16" x14ac:dyDescent="0.3">
      <c r="A916" t="s">
        <v>946</v>
      </c>
      <c r="B916" t="s">
        <v>17</v>
      </c>
      <c r="C916" t="s">
        <v>18</v>
      </c>
      <c r="D916" t="s">
        <v>1035</v>
      </c>
      <c r="E916" t="s">
        <v>28</v>
      </c>
      <c r="F916" t="s">
        <v>27</v>
      </c>
      <c r="G916">
        <v>2182</v>
      </c>
      <c r="H916">
        <v>3408</v>
      </c>
      <c r="I916">
        <v>128</v>
      </c>
      <c r="J916">
        <v>180</v>
      </c>
      <c r="K916">
        <v>1</v>
      </c>
      <c r="L916" t="s">
        <v>20</v>
      </c>
      <c r="M916" t="s">
        <v>21</v>
      </c>
      <c r="N916">
        <v>5590</v>
      </c>
      <c r="O916" t="s">
        <v>22</v>
      </c>
      <c r="P916" t="s">
        <v>23</v>
      </c>
    </row>
    <row r="917" spans="1:16" x14ac:dyDescent="0.3">
      <c r="A917" t="s">
        <v>947</v>
      </c>
      <c r="B917" t="s">
        <v>31</v>
      </c>
      <c r="C917" t="s">
        <v>27</v>
      </c>
      <c r="D917" t="s">
        <v>1034</v>
      </c>
      <c r="E917" t="s">
        <v>28</v>
      </c>
      <c r="F917" t="s">
        <v>18</v>
      </c>
      <c r="G917">
        <v>16985</v>
      </c>
      <c r="H917">
        <v>0</v>
      </c>
      <c r="I917">
        <v>67</v>
      </c>
      <c r="J917">
        <v>360</v>
      </c>
      <c r="K917">
        <v>1</v>
      </c>
      <c r="L917" t="s">
        <v>29</v>
      </c>
      <c r="M917" t="s">
        <v>21</v>
      </c>
      <c r="N917">
        <v>16985</v>
      </c>
      <c r="O917" t="s">
        <v>25</v>
      </c>
      <c r="P917" t="s">
        <v>23</v>
      </c>
    </row>
    <row r="918" spans="1:16" x14ac:dyDescent="0.3">
      <c r="A918" t="s">
        <v>948</v>
      </c>
      <c r="B918" t="s">
        <v>17</v>
      </c>
      <c r="C918" t="s">
        <v>18</v>
      </c>
      <c r="D918" t="s">
        <v>1033</v>
      </c>
      <c r="E918" t="s">
        <v>19</v>
      </c>
      <c r="F918" t="s">
        <v>18</v>
      </c>
      <c r="G918">
        <v>11481</v>
      </c>
      <c r="H918">
        <v>13670</v>
      </c>
      <c r="I918">
        <v>513</v>
      </c>
      <c r="J918">
        <v>300</v>
      </c>
      <c r="K918">
        <v>1</v>
      </c>
      <c r="L918" t="s">
        <v>34</v>
      </c>
      <c r="M918" t="s">
        <v>21</v>
      </c>
      <c r="N918">
        <v>25151</v>
      </c>
      <c r="O918" t="s">
        <v>25</v>
      </c>
      <c r="P918" t="s">
        <v>23</v>
      </c>
    </row>
    <row r="919" spans="1:16" x14ac:dyDescent="0.3">
      <c r="A919" t="s">
        <v>949</v>
      </c>
      <c r="B919" t="s">
        <v>31</v>
      </c>
      <c r="C919" t="s">
        <v>27</v>
      </c>
      <c r="D919" t="s">
        <v>1032</v>
      </c>
      <c r="E919" t="s">
        <v>28</v>
      </c>
      <c r="F919" t="s">
        <v>27</v>
      </c>
      <c r="G919">
        <v>1944</v>
      </c>
      <c r="H919">
        <v>14061</v>
      </c>
      <c r="I919">
        <v>358</v>
      </c>
      <c r="J919">
        <v>240</v>
      </c>
      <c r="K919">
        <v>0</v>
      </c>
      <c r="L919" t="s">
        <v>34</v>
      </c>
      <c r="M919" t="s">
        <v>21</v>
      </c>
      <c r="N919">
        <v>16005</v>
      </c>
      <c r="O919" t="s">
        <v>25</v>
      </c>
      <c r="P919" t="s">
        <v>32</v>
      </c>
    </row>
    <row r="920" spans="1:16" x14ac:dyDescent="0.3">
      <c r="A920" t="s">
        <v>950</v>
      </c>
      <c r="B920" t="s">
        <v>31</v>
      </c>
      <c r="C920" t="s">
        <v>18</v>
      </c>
      <c r="D920" t="s">
        <v>1032</v>
      </c>
      <c r="E920" t="s">
        <v>19</v>
      </c>
      <c r="F920" t="s">
        <v>18</v>
      </c>
      <c r="G920">
        <v>14945</v>
      </c>
      <c r="H920">
        <v>0</v>
      </c>
      <c r="I920">
        <v>195</v>
      </c>
      <c r="J920">
        <v>240</v>
      </c>
      <c r="K920">
        <v>1</v>
      </c>
      <c r="L920" t="s">
        <v>20</v>
      </c>
      <c r="M920" t="s">
        <v>21</v>
      </c>
      <c r="N920">
        <v>14945</v>
      </c>
      <c r="O920" t="s">
        <v>25</v>
      </c>
      <c r="P920" t="s">
        <v>23</v>
      </c>
    </row>
    <row r="921" spans="1:16" x14ac:dyDescent="0.3">
      <c r="A921" t="s">
        <v>951</v>
      </c>
      <c r="B921" t="s">
        <v>31</v>
      </c>
      <c r="C921" t="s">
        <v>27</v>
      </c>
      <c r="D921" t="s">
        <v>1033</v>
      </c>
      <c r="E921" t="s">
        <v>19</v>
      </c>
      <c r="F921" t="s">
        <v>18</v>
      </c>
      <c r="G921">
        <v>13879</v>
      </c>
      <c r="H921">
        <v>0</v>
      </c>
      <c r="I921">
        <v>330</v>
      </c>
      <c r="J921">
        <v>360</v>
      </c>
      <c r="K921">
        <v>0</v>
      </c>
      <c r="L921" t="s">
        <v>29</v>
      </c>
      <c r="M921" t="s">
        <v>21</v>
      </c>
      <c r="N921">
        <v>13879</v>
      </c>
      <c r="O921" t="s">
        <v>25</v>
      </c>
      <c r="P921" t="s">
        <v>32</v>
      </c>
    </row>
    <row r="922" spans="1:16" x14ac:dyDescent="0.3">
      <c r="A922" t="s">
        <v>952</v>
      </c>
      <c r="B922" t="s">
        <v>17</v>
      </c>
      <c r="C922" t="s">
        <v>27</v>
      </c>
      <c r="D922" t="s">
        <v>1032</v>
      </c>
      <c r="E922" t="s">
        <v>28</v>
      </c>
      <c r="F922" t="s">
        <v>27</v>
      </c>
      <c r="G922">
        <v>20805</v>
      </c>
      <c r="H922">
        <v>7336</v>
      </c>
      <c r="I922">
        <v>366</v>
      </c>
      <c r="J922">
        <v>180</v>
      </c>
      <c r="K922">
        <v>1</v>
      </c>
      <c r="L922" t="s">
        <v>34</v>
      </c>
      <c r="M922" t="s">
        <v>21</v>
      </c>
      <c r="N922">
        <v>28141</v>
      </c>
      <c r="O922" t="s">
        <v>25</v>
      </c>
      <c r="P922" t="s">
        <v>23</v>
      </c>
    </row>
    <row r="923" spans="1:16" x14ac:dyDescent="0.3">
      <c r="A923" t="s">
        <v>953</v>
      </c>
      <c r="B923" t="s">
        <v>31</v>
      </c>
      <c r="C923" t="s">
        <v>18</v>
      </c>
      <c r="D923" t="s">
        <v>1035</v>
      </c>
      <c r="E923" t="s">
        <v>28</v>
      </c>
      <c r="F923" t="s">
        <v>27</v>
      </c>
      <c r="G923">
        <v>10950</v>
      </c>
      <c r="H923">
        <v>0</v>
      </c>
      <c r="I923">
        <v>560</v>
      </c>
      <c r="J923">
        <v>180</v>
      </c>
      <c r="K923">
        <v>1</v>
      </c>
      <c r="L923" t="s">
        <v>20</v>
      </c>
      <c r="M923" t="s">
        <v>21</v>
      </c>
      <c r="N923">
        <v>10950</v>
      </c>
      <c r="O923" t="s">
        <v>25</v>
      </c>
      <c r="P923" t="s">
        <v>23</v>
      </c>
    </row>
    <row r="924" spans="1:16" x14ac:dyDescent="0.3">
      <c r="A924" t="s">
        <v>954</v>
      </c>
      <c r="B924" t="s">
        <v>31</v>
      </c>
      <c r="C924" t="s">
        <v>18</v>
      </c>
      <c r="D924" t="s">
        <v>1032</v>
      </c>
      <c r="E924" t="s">
        <v>28</v>
      </c>
      <c r="F924" t="s">
        <v>27</v>
      </c>
      <c r="G924">
        <v>3617</v>
      </c>
      <c r="H924">
        <v>13603</v>
      </c>
      <c r="I924">
        <v>65</v>
      </c>
      <c r="J924">
        <v>300</v>
      </c>
      <c r="K924">
        <v>1</v>
      </c>
      <c r="L924" t="s">
        <v>29</v>
      </c>
      <c r="M924" t="s">
        <v>21</v>
      </c>
      <c r="N924">
        <v>17220</v>
      </c>
      <c r="O924" t="s">
        <v>25</v>
      </c>
      <c r="P924" t="s">
        <v>23</v>
      </c>
    </row>
    <row r="925" spans="1:16" x14ac:dyDescent="0.3">
      <c r="A925" t="s">
        <v>955</v>
      </c>
      <c r="B925" t="s">
        <v>17</v>
      </c>
      <c r="C925" t="s">
        <v>18</v>
      </c>
      <c r="D925" t="s">
        <v>1035</v>
      </c>
      <c r="E925" t="s">
        <v>28</v>
      </c>
      <c r="F925" t="s">
        <v>18</v>
      </c>
      <c r="G925">
        <v>15600</v>
      </c>
      <c r="H925">
        <v>0</v>
      </c>
      <c r="I925">
        <v>101</v>
      </c>
      <c r="J925">
        <v>240</v>
      </c>
      <c r="K925">
        <v>1</v>
      </c>
      <c r="L925" t="s">
        <v>29</v>
      </c>
      <c r="M925" t="s">
        <v>21</v>
      </c>
      <c r="N925">
        <v>15600</v>
      </c>
      <c r="O925" t="s">
        <v>25</v>
      </c>
      <c r="P925" t="s">
        <v>23</v>
      </c>
    </row>
    <row r="926" spans="1:16" x14ac:dyDescent="0.3">
      <c r="A926" t="s">
        <v>956</v>
      </c>
      <c r="B926" t="s">
        <v>17</v>
      </c>
      <c r="C926" t="s">
        <v>18</v>
      </c>
      <c r="D926" t="s">
        <v>1032</v>
      </c>
      <c r="E926" t="s">
        <v>19</v>
      </c>
      <c r="F926" t="s">
        <v>18</v>
      </c>
      <c r="G926">
        <v>15657</v>
      </c>
      <c r="H926">
        <v>0</v>
      </c>
      <c r="I926">
        <v>347</v>
      </c>
      <c r="J926">
        <v>180</v>
      </c>
      <c r="K926">
        <v>1</v>
      </c>
      <c r="L926" t="s">
        <v>29</v>
      </c>
      <c r="M926" t="s">
        <v>21</v>
      </c>
      <c r="N926">
        <v>15657</v>
      </c>
      <c r="O926" t="s">
        <v>25</v>
      </c>
      <c r="P926" t="s">
        <v>23</v>
      </c>
    </row>
    <row r="927" spans="1:16" x14ac:dyDescent="0.3">
      <c r="A927" t="s">
        <v>957</v>
      </c>
      <c r="B927" t="s">
        <v>17</v>
      </c>
      <c r="C927" t="s">
        <v>27</v>
      </c>
      <c r="D927" t="s">
        <v>1035</v>
      </c>
      <c r="E927" t="s">
        <v>28</v>
      </c>
      <c r="F927" t="s">
        <v>18</v>
      </c>
      <c r="G927">
        <v>10060</v>
      </c>
      <c r="H927">
        <v>5448</v>
      </c>
      <c r="I927">
        <v>227</v>
      </c>
      <c r="J927">
        <v>360</v>
      </c>
      <c r="K927">
        <v>1</v>
      </c>
      <c r="L927" t="s">
        <v>29</v>
      </c>
      <c r="M927" t="s">
        <v>21</v>
      </c>
      <c r="N927">
        <v>15508</v>
      </c>
      <c r="O927" t="s">
        <v>25</v>
      </c>
      <c r="P927" t="s">
        <v>23</v>
      </c>
    </row>
    <row r="928" spans="1:16" x14ac:dyDescent="0.3">
      <c r="A928" t="s">
        <v>958</v>
      </c>
      <c r="B928" t="s">
        <v>17</v>
      </c>
      <c r="C928" t="s">
        <v>18</v>
      </c>
      <c r="D928" t="s">
        <v>1032</v>
      </c>
      <c r="E928" t="s">
        <v>19</v>
      </c>
      <c r="F928" t="s">
        <v>27</v>
      </c>
      <c r="G928">
        <v>19662</v>
      </c>
      <c r="H928">
        <v>3768</v>
      </c>
      <c r="I928">
        <v>362</v>
      </c>
      <c r="J928">
        <v>120</v>
      </c>
      <c r="K928">
        <v>1</v>
      </c>
      <c r="L928" t="s">
        <v>34</v>
      </c>
      <c r="M928" t="s">
        <v>21</v>
      </c>
      <c r="N928">
        <v>23430</v>
      </c>
      <c r="O928" t="s">
        <v>25</v>
      </c>
      <c r="P928" t="s">
        <v>23</v>
      </c>
    </row>
    <row r="929" spans="1:16" x14ac:dyDescent="0.3">
      <c r="A929" t="s">
        <v>959</v>
      </c>
      <c r="B929" t="s">
        <v>31</v>
      </c>
      <c r="C929" t="s">
        <v>18</v>
      </c>
      <c r="D929" t="s">
        <v>1035</v>
      </c>
      <c r="E929" t="s">
        <v>28</v>
      </c>
      <c r="F929" t="s">
        <v>18</v>
      </c>
      <c r="G929">
        <v>6041</v>
      </c>
      <c r="H929">
        <v>9127</v>
      </c>
      <c r="I929">
        <v>370</v>
      </c>
      <c r="J929">
        <v>360</v>
      </c>
      <c r="K929">
        <v>0</v>
      </c>
      <c r="L929" t="s">
        <v>34</v>
      </c>
      <c r="M929" t="s">
        <v>21</v>
      </c>
      <c r="N929">
        <v>15168</v>
      </c>
      <c r="O929" t="s">
        <v>25</v>
      </c>
      <c r="P929" t="s">
        <v>32</v>
      </c>
    </row>
    <row r="930" spans="1:16" x14ac:dyDescent="0.3">
      <c r="A930" t="s">
        <v>960</v>
      </c>
      <c r="B930" t="s">
        <v>31</v>
      </c>
      <c r="C930" t="s">
        <v>27</v>
      </c>
      <c r="D930" t="s">
        <v>1032</v>
      </c>
      <c r="E930" t="s">
        <v>28</v>
      </c>
      <c r="F930" t="s">
        <v>27</v>
      </c>
      <c r="G930">
        <v>15279</v>
      </c>
      <c r="H930">
        <v>7221</v>
      </c>
      <c r="I930">
        <v>78</v>
      </c>
      <c r="J930">
        <v>360</v>
      </c>
      <c r="K930">
        <v>1</v>
      </c>
      <c r="L930" t="s">
        <v>29</v>
      </c>
      <c r="M930" t="s">
        <v>21</v>
      </c>
      <c r="N930">
        <v>22500</v>
      </c>
      <c r="O930" t="s">
        <v>25</v>
      </c>
      <c r="P930" t="s">
        <v>23</v>
      </c>
    </row>
    <row r="931" spans="1:16" x14ac:dyDescent="0.3">
      <c r="A931" t="s">
        <v>961</v>
      </c>
      <c r="B931" t="s">
        <v>17</v>
      </c>
      <c r="C931" t="s">
        <v>18</v>
      </c>
      <c r="D931" t="s">
        <v>1032</v>
      </c>
      <c r="E931" t="s">
        <v>19</v>
      </c>
      <c r="F931" t="s">
        <v>27</v>
      </c>
      <c r="G931">
        <v>5670</v>
      </c>
      <c r="H931">
        <v>10672</v>
      </c>
      <c r="I931">
        <v>104</v>
      </c>
      <c r="J931">
        <v>300</v>
      </c>
      <c r="K931">
        <v>1</v>
      </c>
      <c r="L931" t="s">
        <v>34</v>
      </c>
      <c r="M931" t="s">
        <v>21</v>
      </c>
      <c r="N931">
        <v>16342</v>
      </c>
      <c r="O931" t="s">
        <v>25</v>
      </c>
      <c r="P931" t="s">
        <v>23</v>
      </c>
    </row>
    <row r="932" spans="1:16" x14ac:dyDescent="0.3">
      <c r="A932" t="s">
        <v>962</v>
      </c>
      <c r="B932" t="s">
        <v>17</v>
      </c>
      <c r="C932" t="s">
        <v>27</v>
      </c>
      <c r="D932" t="s">
        <v>1035</v>
      </c>
      <c r="E932" t="s">
        <v>19</v>
      </c>
      <c r="F932" t="s">
        <v>18</v>
      </c>
      <c r="G932">
        <v>3292</v>
      </c>
      <c r="H932">
        <v>0</v>
      </c>
      <c r="I932">
        <v>391</v>
      </c>
      <c r="J932">
        <v>360</v>
      </c>
      <c r="K932">
        <v>1</v>
      </c>
      <c r="L932" t="s">
        <v>29</v>
      </c>
      <c r="M932" t="s">
        <v>53</v>
      </c>
      <c r="N932">
        <v>3292</v>
      </c>
      <c r="O932" t="s">
        <v>35</v>
      </c>
      <c r="P932" t="s">
        <v>23</v>
      </c>
    </row>
    <row r="933" spans="1:16" x14ac:dyDescent="0.3">
      <c r="A933" t="s">
        <v>963</v>
      </c>
      <c r="B933" t="s">
        <v>31</v>
      </c>
      <c r="C933" t="s">
        <v>27</v>
      </c>
      <c r="D933" t="s">
        <v>1034</v>
      </c>
      <c r="E933" t="s">
        <v>19</v>
      </c>
      <c r="F933" t="s">
        <v>18</v>
      </c>
      <c r="G933">
        <v>24489</v>
      </c>
      <c r="H933">
        <v>0</v>
      </c>
      <c r="I933">
        <v>625</v>
      </c>
      <c r="J933">
        <v>300</v>
      </c>
      <c r="K933">
        <v>1</v>
      </c>
      <c r="L933" t="s">
        <v>34</v>
      </c>
      <c r="M933" t="s">
        <v>21</v>
      </c>
      <c r="N933">
        <v>24489</v>
      </c>
      <c r="O933" t="s">
        <v>25</v>
      </c>
      <c r="P933" t="s">
        <v>23</v>
      </c>
    </row>
    <row r="934" spans="1:16" x14ac:dyDescent="0.3">
      <c r="A934" t="s">
        <v>964</v>
      </c>
      <c r="B934" t="s">
        <v>17</v>
      </c>
      <c r="C934" t="s">
        <v>27</v>
      </c>
      <c r="D934" t="s">
        <v>1032</v>
      </c>
      <c r="E934" t="s">
        <v>19</v>
      </c>
      <c r="F934" t="s">
        <v>27</v>
      </c>
      <c r="G934">
        <v>21936</v>
      </c>
      <c r="H934">
        <v>0</v>
      </c>
      <c r="I934">
        <v>167</v>
      </c>
      <c r="J934">
        <v>120</v>
      </c>
      <c r="K934">
        <v>1</v>
      </c>
      <c r="L934" t="s">
        <v>34</v>
      </c>
      <c r="M934" t="s">
        <v>21</v>
      </c>
      <c r="N934">
        <v>21936</v>
      </c>
      <c r="O934" t="s">
        <v>25</v>
      </c>
      <c r="P934" t="s">
        <v>23</v>
      </c>
    </row>
    <row r="935" spans="1:16" x14ac:dyDescent="0.3">
      <c r="A935" t="s">
        <v>965</v>
      </c>
      <c r="B935" t="s">
        <v>17</v>
      </c>
      <c r="C935" t="s">
        <v>18</v>
      </c>
      <c r="D935" t="s">
        <v>1033</v>
      </c>
      <c r="E935" t="s">
        <v>19</v>
      </c>
      <c r="F935" t="s">
        <v>18</v>
      </c>
      <c r="G935">
        <v>17023</v>
      </c>
      <c r="H935">
        <v>903</v>
      </c>
      <c r="I935">
        <v>450</v>
      </c>
      <c r="J935">
        <v>120</v>
      </c>
      <c r="K935">
        <v>0</v>
      </c>
      <c r="L935" t="s">
        <v>29</v>
      </c>
      <c r="M935" t="s">
        <v>21</v>
      </c>
      <c r="N935">
        <v>17926</v>
      </c>
      <c r="O935" t="s">
        <v>25</v>
      </c>
      <c r="P935" t="s">
        <v>32</v>
      </c>
    </row>
    <row r="936" spans="1:16" x14ac:dyDescent="0.3">
      <c r="A936" t="s">
        <v>966</v>
      </c>
      <c r="B936" t="s">
        <v>31</v>
      </c>
      <c r="C936" t="s">
        <v>27</v>
      </c>
      <c r="D936" t="s">
        <v>1033</v>
      </c>
      <c r="E936" t="s">
        <v>19</v>
      </c>
      <c r="F936" t="s">
        <v>27</v>
      </c>
      <c r="G936">
        <v>21578</v>
      </c>
      <c r="H936">
        <v>11662</v>
      </c>
      <c r="I936">
        <v>681</v>
      </c>
      <c r="J936">
        <v>120</v>
      </c>
      <c r="K936">
        <v>1</v>
      </c>
      <c r="L936" t="s">
        <v>34</v>
      </c>
      <c r="M936" t="s">
        <v>21</v>
      </c>
      <c r="N936">
        <v>33240</v>
      </c>
      <c r="O936" t="s">
        <v>25</v>
      </c>
      <c r="P936" t="s">
        <v>23</v>
      </c>
    </row>
    <row r="937" spans="1:16" x14ac:dyDescent="0.3">
      <c r="A937" t="s">
        <v>967</v>
      </c>
      <c r="B937" t="s">
        <v>17</v>
      </c>
      <c r="C937" t="s">
        <v>18</v>
      </c>
      <c r="D937" t="s">
        <v>1033</v>
      </c>
      <c r="E937" t="s">
        <v>19</v>
      </c>
      <c r="F937" t="s">
        <v>18</v>
      </c>
      <c r="G937">
        <v>18261</v>
      </c>
      <c r="H937">
        <v>0</v>
      </c>
      <c r="I937">
        <v>537</v>
      </c>
      <c r="J937">
        <v>300</v>
      </c>
      <c r="K937">
        <v>1</v>
      </c>
      <c r="L937" t="s">
        <v>34</v>
      </c>
      <c r="M937" t="s">
        <v>21</v>
      </c>
      <c r="N937">
        <v>18261</v>
      </c>
      <c r="O937" t="s">
        <v>25</v>
      </c>
      <c r="P937" t="s">
        <v>23</v>
      </c>
    </row>
    <row r="938" spans="1:16" x14ac:dyDescent="0.3">
      <c r="A938" t="s">
        <v>968</v>
      </c>
      <c r="B938" t="s">
        <v>17</v>
      </c>
      <c r="C938" t="s">
        <v>27</v>
      </c>
      <c r="D938" t="s">
        <v>1032</v>
      </c>
      <c r="E938" t="s">
        <v>28</v>
      </c>
      <c r="F938" t="s">
        <v>27</v>
      </c>
      <c r="G938">
        <v>14142</v>
      </c>
      <c r="H938">
        <v>0</v>
      </c>
      <c r="I938">
        <v>525</v>
      </c>
      <c r="J938">
        <v>300</v>
      </c>
      <c r="K938">
        <v>0</v>
      </c>
      <c r="L938" t="s">
        <v>20</v>
      </c>
      <c r="M938" t="s">
        <v>21</v>
      </c>
      <c r="N938">
        <v>14142</v>
      </c>
      <c r="O938" t="s">
        <v>25</v>
      </c>
      <c r="P938" t="s">
        <v>32</v>
      </c>
    </row>
    <row r="939" spans="1:16" x14ac:dyDescent="0.3">
      <c r="A939" t="s">
        <v>969</v>
      </c>
      <c r="B939" t="s">
        <v>17</v>
      </c>
      <c r="C939" t="s">
        <v>27</v>
      </c>
      <c r="D939" t="s">
        <v>1035</v>
      </c>
      <c r="E939" t="s">
        <v>19</v>
      </c>
      <c r="F939" t="s">
        <v>27</v>
      </c>
      <c r="G939">
        <v>1861</v>
      </c>
      <c r="H939">
        <v>10011</v>
      </c>
      <c r="I939">
        <v>84</v>
      </c>
      <c r="J939">
        <v>360</v>
      </c>
      <c r="K939">
        <v>1</v>
      </c>
      <c r="L939" t="s">
        <v>29</v>
      </c>
      <c r="M939" t="s">
        <v>21</v>
      </c>
      <c r="N939">
        <v>11872</v>
      </c>
      <c r="O939" t="s">
        <v>25</v>
      </c>
      <c r="P939" t="s">
        <v>23</v>
      </c>
    </row>
    <row r="940" spans="1:16" x14ac:dyDescent="0.3">
      <c r="A940" t="s">
        <v>970</v>
      </c>
      <c r="B940" t="s">
        <v>17</v>
      </c>
      <c r="C940" t="s">
        <v>27</v>
      </c>
      <c r="D940" t="s">
        <v>1035</v>
      </c>
      <c r="E940" t="s">
        <v>28</v>
      </c>
      <c r="F940" t="s">
        <v>18</v>
      </c>
      <c r="G940">
        <v>6687</v>
      </c>
      <c r="H940">
        <v>0</v>
      </c>
      <c r="I940">
        <v>407</v>
      </c>
      <c r="J940">
        <v>360</v>
      </c>
      <c r="K940">
        <v>1</v>
      </c>
      <c r="L940" t="s">
        <v>20</v>
      </c>
      <c r="M940" t="s">
        <v>21</v>
      </c>
      <c r="N940">
        <v>6687</v>
      </c>
      <c r="O940" t="s">
        <v>22</v>
      </c>
      <c r="P940" t="s">
        <v>23</v>
      </c>
    </row>
    <row r="941" spans="1:16" x14ac:dyDescent="0.3">
      <c r="A941" t="s">
        <v>971</v>
      </c>
      <c r="B941" t="s">
        <v>17</v>
      </c>
      <c r="C941" t="s">
        <v>18</v>
      </c>
      <c r="D941" t="s">
        <v>1032</v>
      </c>
      <c r="E941" t="s">
        <v>28</v>
      </c>
      <c r="F941" t="s">
        <v>27</v>
      </c>
      <c r="G941">
        <v>24935</v>
      </c>
      <c r="H941">
        <v>0</v>
      </c>
      <c r="I941">
        <v>335</v>
      </c>
      <c r="J941">
        <v>240</v>
      </c>
      <c r="K941">
        <v>0</v>
      </c>
      <c r="L941" t="s">
        <v>20</v>
      </c>
      <c r="M941" t="s">
        <v>21</v>
      </c>
      <c r="N941">
        <v>24935</v>
      </c>
      <c r="O941" t="s">
        <v>25</v>
      </c>
      <c r="P941" t="s">
        <v>32</v>
      </c>
    </row>
    <row r="942" spans="1:16" x14ac:dyDescent="0.3">
      <c r="A942" t="s">
        <v>972</v>
      </c>
      <c r="B942" t="s">
        <v>31</v>
      </c>
      <c r="C942" t="s">
        <v>27</v>
      </c>
      <c r="D942" t="s">
        <v>1035</v>
      </c>
      <c r="E942" t="s">
        <v>19</v>
      </c>
      <c r="F942" t="s">
        <v>27</v>
      </c>
      <c r="G942">
        <v>5740</v>
      </c>
      <c r="H942">
        <v>11932</v>
      </c>
      <c r="I942">
        <v>652</v>
      </c>
      <c r="J942">
        <v>360</v>
      </c>
      <c r="K942">
        <v>1</v>
      </c>
      <c r="L942" t="s">
        <v>34</v>
      </c>
      <c r="M942" t="s">
        <v>21</v>
      </c>
      <c r="N942">
        <v>17672</v>
      </c>
      <c r="O942" t="s">
        <v>25</v>
      </c>
      <c r="P942" t="s">
        <v>23</v>
      </c>
    </row>
    <row r="943" spans="1:16" x14ac:dyDescent="0.3">
      <c r="A943" t="s">
        <v>973</v>
      </c>
      <c r="B943" t="s">
        <v>31</v>
      </c>
      <c r="C943" t="s">
        <v>18</v>
      </c>
      <c r="D943" t="s">
        <v>1034</v>
      </c>
      <c r="E943" t="s">
        <v>19</v>
      </c>
      <c r="F943" t="s">
        <v>18</v>
      </c>
      <c r="G943">
        <v>9092</v>
      </c>
      <c r="H943">
        <v>0</v>
      </c>
      <c r="I943">
        <v>561</v>
      </c>
      <c r="J943">
        <v>300</v>
      </c>
      <c r="K943">
        <v>1</v>
      </c>
      <c r="L943" t="s">
        <v>20</v>
      </c>
      <c r="M943" t="s">
        <v>21</v>
      </c>
      <c r="N943">
        <v>9092</v>
      </c>
      <c r="O943" t="s">
        <v>22</v>
      </c>
      <c r="P943" t="s">
        <v>23</v>
      </c>
    </row>
    <row r="944" spans="1:16" x14ac:dyDescent="0.3">
      <c r="A944" t="s">
        <v>974</v>
      </c>
      <c r="B944" t="s">
        <v>17</v>
      </c>
      <c r="C944" t="s">
        <v>18</v>
      </c>
      <c r="D944" t="s">
        <v>1033</v>
      </c>
      <c r="E944" t="s">
        <v>28</v>
      </c>
      <c r="F944" t="s">
        <v>27</v>
      </c>
      <c r="G944">
        <v>3609</v>
      </c>
      <c r="H944">
        <v>1514</v>
      </c>
      <c r="I944">
        <v>167</v>
      </c>
      <c r="J944">
        <v>120</v>
      </c>
      <c r="K944">
        <v>0</v>
      </c>
      <c r="L944" t="s">
        <v>20</v>
      </c>
      <c r="M944" t="s">
        <v>53</v>
      </c>
      <c r="N944">
        <v>5123</v>
      </c>
      <c r="O944" t="s">
        <v>22</v>
      </c>
      <c r="P944" t="s">
        <v>32</v>
      </c>
    </row>
    <row r="945" spans="1:16" x14ac:dyDescent="0.3">
      <c r="A945" t="s">
        <v>975</v>
      </c>
      <c r="B945" t="s">
        <v>31</v>
      </c>
      <c r="C945" t="s">
        <v>27</v>
      </c>
      <c r="D945" t="s">
        <v>1034</v>
      </c>
      <c r="E945" t="s">
        <v>19</v>
      </c>
      <c r="F945" t="s">
        <v>27</v>
      </c>
      <c r="G945">
        <v>5027</v>
      </c>
      <c r="H945">
        <v>11947</v>
      </c>
      <c r="I945">
        <v>436</v>
      </c>
      <c r="J945">
        <v>180</v>
      </c>
      <c r="K945">
        <v>0</v>
      </c>
      <c r="L945" t="s">
        <v>34</v>
      </c>
      <c r="M945" t="s">
        <v>21</v>
      </c>
      <c r="N945">
        <v>16974</v>
      </c>
      <c r="O945" t="s">
        <v>25</v>
      </c>
      <c r="P945" t="s">
        <v>32</v>
      </c>
    </row>
    <row r="946" spans="1:16" x14ac:dyDescent="0.3">
      <c r="A946" t="s">
        <v>976</v>
      </c>
      <c r="B946" t="s">
        <v>17</v>
      </c>
      <c r="C946" t="s">
        <v>18</v>
      </c>
      <c r="D946" t="s">
        <v>1032</v>
      </c>
      <c r="E946" t="s">
        <v>28</v>
      </c>
      <c r="F946" t="s">
        <v>27</v>
      </c>
      <c r="G946">
        <v>23744</v>
      </c>
      <c r="H946">
        <v>0</v>
      </c>
      <c r="I946">
        <v>256</v>
      </c>
      <c r="J946">
        <v>180</v>
      </c>
      <c r="K946">
        <v>1</v>
      </c>
      <c r="L946" t="s">
        <v>34</v>
      </c>
      <c r="M946" t="s">
        <v>21</v>
      </c>
      <c r="N946">
        <v>23744</v>
      </c>
      <c r="O946" t="s">
        <v>25</v>
      </c>
      <c r="P946" t="s">
        <v>23</v>
      </c>
    </row>
    <row r="947" spans="1:16" x14ac:dyDescent="0.3">
      <c r="A947" t="s">
        <v>977</v>
      </c>
      <c r="B947" t="s">
        <v>17</v>
      </c>
      <c r="C947" t="s">
        <v>18</v>
      </c>
      <c r="D947" t="s">
        <v>1034</v>
      </c>
      <c r="E947" t="s">
        <v>19</v>
      </c>
      <c r="F947" t="s">
        <v>18</v>
      </c>
      <c r="G947">
        <v>2589</v>
      </c>
      <c r="H947">
        <v>0</v>
      </c>
      <c r="I947">
        <v>55</v>
      </c>
      <c r="J947">
        <v>240</v>
      </c>
      <c r="K947">
        <v>1</v>
      </c>
      <c r="L947" t="s">
        <v>34</v>
      </c>
      <c r="M947" t="s">
        <v>53</v>
      </c>
      <c r="N947">
        <v>2589</v>
      </c>
      <c r="O947" t="s">
        <v>35</v>
      </c>
      <c r="P947" t="s">
        <v>23</v>
      </c>
    </row>
    <row r="948" spans="1:16" x14ac:dyDescent="0.3">
      <c r="A948" t="s">
        <v>978</v>
      </c>
      <c r="B948" t="s">
        <v>17</v>
      </c>
      <c r="C948" t="s">
        <v>27</v>
      </c>
      <c r="D948" t="s">
        <v>1033</v>
      </c>
      <c r="E948" t="s">
        <v>28</v>
      </c>
      <c r="F948" t="s">
        <v>18</v>
      </c>
      <c r="G948">
        <v>8298</v>
      </c>
      <c r="H948">
        <v>9844</v>
      </c>
      <c r="I948">
        <v>562</v>
      </c>
      <c r="J948">
        <v>240</v>
      </c>
      <c r="K948">
        <v>1</v>
      </c>
      <c r="L948" t="s">
        <v>34</v>
      </c>
      <c r="M948" t="s">
        <v>21</v>
      </c>
      <c r="N948">
        <v>18142</v>
      </c>
      <c r="O948" t="s">
        <v>25</v>
      </c>
      <c r="P948" t="s">
        <v>23</v>
      </c>
    </row>
    <row r="949" spans="1:16" x14ac:dyDescent="0.3">
      <c r="A949" t="s">
        <v>979</v>
      </c>
      <c r="B949" t="s">
        <v>17</v>
      </c>
      <c r="C949" t="s">
        <v>18</v>
      </c>
      <c r="D949" t="s">
        <v>1035</v>
      </c>
      <c r="E949" t="s">
        <v>28</v>
      </c>
      <c r="F949" t="s">
        <v>27</v>
      </c>
      <c r="G949">
        <v>3822</v>
      </c>
      <c r="H949">
        <v>0</v>
      </c>
      <c r="I949">
        <v>180</v>
      </c>
      <c r="J949">
        <v>360</v>
      </c>
      <c r="K949">
        <v>1</v>
      </c>
      <c r="L949" t="s">
        <v>20</v>
      </c>
      <c r="M949" t="s">
        <v>53</v>
      </c>
      <c r="N949">
        <v>3822</v>
      </c>
      <c r="O949" t="s">
        <v>35</v>
      </c>
      <c r="P949" t="s">
        <v>23</v>
      </c>
    </row>
    <row r="950" spans="1:16" x14ac:dyDescent="0.3">
      <c r="A950" t="s">
        <v>980</v>
      </c>
      <c r="B950" t="s">
        <v>31</v>
      </c>
      <c r="C950" t="s">
        <v>18</v>
      </c>
      <c r="D950" t="s">
        <v>1034</v>
      </c>
      <c r="E950" t="s">
        <v>28</v>
      </c>
      <c r="F950" t="s">
        <v>18</v>
      </c>
      <c r="G950">
        <v>8840</v>
      </c>
      <c r="H950">
        <v>13956</v>
      </c>
      <c r="I950">
        <v>307</v>
      </c>
      <c r="J950">
        <v>300</v>
      </c>
      <c r="K950">
        <v>1</v>
      </c>
      <c r="L950" t="s">
        <v>20</v>
      </c>
      <c r="M950" t="s">
        <v>21</v>
      </c>
      <c r="N950">
        <v>22796</v>
      </c>
      <c r="O950" t="s">
        <v>25</v>
      </c>
      <c r="P950" t="s">
        <v>23</v>
      </c>
    </row>
    <row r="951" spans="1:16" x14ac:dyDescent="0.3">
      <c r="A951" t="s">
        <v>981</v>
      </c>
      <c r="B951" t="s">
        <v>17</v>
      </c>
      <c r="C951" t="s">
        <v>27</v>
      </c>
      <c r="D951" t="s">
        <v>1034</v>
      </c>
      <c r="E951" t="s">
        <v>19</v>
      </c>
      <c r="F951" t="s">
        <v>27</v>
      </c>
      <c r="G951">
        <v>14581</v>
      </c>
      <c r="H951">
        <v>0</v>
      </c>
      <c r="I951">
        <v>609</v>
      </c>
      <c r="J951">
        <v>120</v>
      </c>
      <c r="K951">
        <v>1</v>
      </c>
      <c r="L951" t="s">
        <v>29</v>
      </c>
      <c r="M951" t="s">
        <v>21</v>
      </c>
      <c r="N951">
        <v>14581</v>
      </c>
      <c r="O951" t="s">
        <v>25</v>
      </c>
      <c r="P951" t="s">
        <v>23</v>
      </c>
    </row>
    <row r="952" spans="1:16" x14ac:dyDescent="0.3">
      <c r="A952" t="s">
        <v>982</v>
      </c>
      <c r="B952" t="s">
        <v>17</v>
      </c>
      <c r="C952" t="s">
        <v>18</v>
      </c>
      <c r="D952" t="s">
        <v>1032</v>
      </c>
      <c r="E952" t="s">
        <v>28</v>
      </c>
      <c r="F952" t="s">
        <v>27</v>
      </c>
      <c r="G952">
        <v>8070</v>
      </c>
      <c r="H952">
        <v>0</v>
      </c>
      <c r="I952">
        <v>192</v>
      </c>
      <c r="J952">
        <v>180</v>
      </c>
      <c r="K952">
        <v>1</v>
      </c>
      <c r="L952" t="s">
        <v>34</v>
      </c>
      <c r="M952" t="s">
        <v>21</v>
      </c>
      <c r="N952">
        <v>8070</v>
      </c>
      <c r="O952" t="s">
        <v>22</v>
      </c>
      <c r="P952" t="s">
        <v>23</v>
      </c>
    </row>
    <row r="953" spans="1:16" x14ac:dyDescent="0.3">
      <c r="A953" t="s">
        <v>983</v>
      </c>
      <c r="B953" t="s">
        <v>31</v>
      </c>
      <c r="C953" t="s">
        <v>18</v>
      </c>
      <c r="D953" t="s">
        <v>1033</v>
      </c>
      <c r="E953" t="s">
        <v>28</v>
      </c>
      <c r="F953" t="s">
        <v>18</v>
      </c>
      <c r="G953">
        <v>19976</v>
      </c>
      <c r="H953">
        <v>0</v>
      </c>
      <c r="I953">
        <v>404</v>
      </c>
      <c r="J953">
        <v>120</v>
      </c>
      <c r="K953">
        <v>0</v>
      </c>
      <c r="L953" t="s">
        <v>34</v>
      </c>
      <c r="M953" t="s">
        <v>21</v>
      </c>
      <c r="N953">
        <v>19976</v>
      </c>
      <c r="O953" t="s">
        <v>25</v>
      </c>
      <c r="P953" t="s">
        <v>32</v>
      </c>
    </row>
    <row r="954" spans="1:16" x14ac:dyDescent="0.3">
      <c r="A954" t="s">
        <v>984</v>
      </c>
      <c r="B954" t="s">
        <v>17</v>
      </c>
      <c r="C954" t="s">
        <v>27</v>
      </c>
      <c r="D954" t="s">
        <v>1033</v>
      </c>
      <c r="E954" t="s">
        <v>28</v>
      </c>
      <c r="F954" t="s">
        <v>18</v>
      </c>
      <c r="G954">
        <v>4909</v>
      </c>
      <c r="H954">
        <v>1083</v>
      </c>
      <c r="I954">
        <v>569</v>
      </c>
      <c r="J954">
        <v>180</v>
      </c>
      <c r="K954">
        <v>1</v>
      </c>
      <c r="L954" t="s">
        <v>29</v>
      </c>
      <c r="M954" t="s">
        <v>21</v>
      </c>
      <c r="N954">
        <v>5992</v>
      </c>
      <c r="O954" t="s">
        <v>22</v>
      </c>
      <c r="P954" t="s">
        <v>23</v>
      </c>
    </row>
    <row r="955" spans="1:16" x14ac:dyDescent="0.3">
      <c r="A955" t="s">
        <v>985</v>
      </c>
      <c r="B955" t="s">
        <v>31</v>
      </c>
      <c r="C955" t="s">
        <v>27</v>
      </c>
      <c r="D955" t="s">
        <v>1033</v>
      </c>
      <c r="E955" t="s">
        <v>19</v>
      </c>
      <c r="F955" t="s">
        <v>18</v>
      </c>
      <c r="G955">
        <v>2363</v>
      </c>
      <c r="H955">
        <v>0</v>
      </c>
      <c r="I955">
        <v>597</v>
      </c>
      <c r="J955">
        <v>360</v>
      </c>
      <c r="K955">
        <v>0</v>
      </c>
      <c r="L955" t="s">
        <v>34</v>
      </c>
      <c r="M955" t="s">
        <v>53</v>
      </c>
      <c r="N955">
        <v>2363</v>
      </c>
      <c r="O955" t="s">
        <v>35</v>
      </c>
      <c r="P955" t="s">
        <v>32</v>
      </c>
    </row>
    <row r="956" spans="1:16" x14ac:dyDescent="0.3">
      <c r="A956" t="s">
        <v>986</v>
      </c>
      <c r="B956" t="s">
        <v>17</v>
      </c>
      <c r="C956" t="s">
        <v>27</v>
      </c>
      <c r="D956" t="s">
        <v>1034</v>
      </c>
      <c r="E956" t="s">
        <v>28</v>
      </c>
      <c r="F956" t="s">
        <v>27</v>
      </c>
      <c r="G956">
        <v>24288</v>
      </c>
      <c r="H956">
        <v>2551</v>
      </c>
      <c r="I956">
        <v>487</v>
      </c>
      <c r="J956">
        <v>360</v>
      </c>
      <c r="K956">
        <v>1</v>
      </c>
      <c r="L956" t="s">
        <v>29</v>
      </c>
      <c r="M956" t="s">
        <v>21</v>
      </c>
      <c r="N956">
        <v>26839</v>
      </c>
      <c r="O956" t="s">
        <v>25</v>
      </c>
      <c r="P956" t="s">
        <v>23</v>
      </c>
    </row>
    <row r="957" spans="1:16" x14ac:dyDescent="0.3">
      <c r="A957" t="s">
        <v>987</v>
      </c>
      <c r="B957" t="s">
        <v>17</v>
      </c>
      <c r="C957" t="s">
        <v>27</v>
      </c>
      <c r="D957" t="s">
        <v>1032</v>
      </c>
      <c r="E957" t="s">
        <v>19</v>
      </c>
      <c r="F957" t="s">
        <v>27</v>
      </c>
      <c r="G957">
        <v>15804</v>
      </c>
      <c r="H957">
        <v>0</v>
      </c>
      <c r="I957">
        <v>287</v>
      </c>
      <c r="J957">
        <v>120</v>
      </c>
      <c r="K957">
        <v>1</v>
      </c>
      <c r="L957" t="s">
        <v>20</v>
      </c>
      <c r="M957" t="s">
        <v>21</v>
      </c>
      <c r="N957">
        <v>15804</v>
      </c>
      <c r="O957" t="s">
        <v>25</v>
      </c>
      <c r="P957" t="s">
        <v>23</v>
      </c>
    </row>
    <row r="958" spans="1:16" x14ac:dyDescent="0.3">
      <c r="A958" t="s">
        <v>988</v>
      </c>
      <c r="B958" t="s">
        <v>31</v>
      </c>
      <c r="C958" t="s">
        <v>18</v>
      </c>
      <c r="D958" t="s">
        <v>1034</v>
      </c>
      <c r="E958" t="s">
        <v>19</v>
      </c>
      <c r="F958" t="s">
        <v>18</v>
      </c>
      <c r="G958">
        <v>4010</v>
      </c>
      <c r="H958">
        <v>0</v>
      </c>
      <c r="I958">
        <v>499</v>
      </c>
      <c r="J958">
        <v>180</v>
      </c>
      <c r="K958">
        <v>1</v>
      </c>
      <c r="L958" t="s">
        <v>29</v>
      </c>
      <c r="M958" t="s">
        <v>21</v>
      </c>
      <c r="N958">
        <v>4010</v>
      </c>
      <c r="O958" t="s">
        <v>35</v>
      </c>
      <c r="P958" t="s">
        <v>23</v>
      </c>
    </row>
    <row r="959" spans="1:16" x14ac:dyDescent="0.3">
      <c r="A959" t="s">
        <v>989</v>
      </c>
      <c r="B959" t="s">
        <v>31</v>
      </c>
      <c r="C959" t="s">
        <v>18</v>
      </c>
      <c r="D959" t="s">
        <v>1032</v>
      </c>
      <c r="E959" t="s">
        <v>19</v>
      </c>
      <c r="F959" t="s">
        <v>27</v>
      </c>
      <c r="G959">
        <v>17186</v>
      </c>
      <c r="H959">
        <v>0</v>
      </c>
      <c r="I959">
        <v>128</v>
      </c>
      <c r="J959">
        <v>120</v>
      </c>
      <c r="K959">
        <v>1</v>
      </c>
      <c r="L959" t="s">
        <v>34</v>
      </c>
      <c r="M959" t="s">
        <v>21</v>
      </c>
      <c r="N959">
        <v>17186</v>
      </c>
      <c r="O959" t="s">
        <v>25</v>
      </c>
      <c r="P959" t="s">
        <v>23</v>
      </c>
    </row>
    <row r="960" spans="1:16" x14ac:dyDescent="0.3">
      <c r="A960" t="s">
        <v>990</v>
      </c>
      <c r="B960" t="s">
        <v>17</v>
      </c>
      <c r="C960" t="s">
        <v>27</v>
      </c>
      <c r="D960" t="s">
        <v>1032</v>
      </c>
      <c r="E960" t="s">
        <v>19</v>
      </c>
      <c r="F960" t="s">
        <v>27</v>
      </c>
      <c r="G960">
        <v>24867</v>
      </c>
      <c r="H960">
        <v>5459</v>
      </c>
      <c r="I960">
        <v>614</v>
      </c>
      <c r="J960">
        <v>240</v>
      </c>
      <c r="K960">
        <v>0</v>
      </c>
      <c r="L960" t="s">
        <v>20</v>
      </c>
      <c r="M960" t="s">
        <v>21</v>
      </c>
      <c r="N960">
        <v>30326</v>
      </c>
      <c r="O960" t="s">
        <v>25</v>
      </c>
      <c r="P960" t="s">
        <v>32</v>
      </c>
    </row>
    <row r="961" spans="1:16" x14ac:dyDescent="0.3">
      <c r="A961" t="s">
        <v>991</v>
      </c>
      <c r="B961" t="s">
        <v>31</v>
      </c>
      <c r="C961" t="s">
        <v>27</v>
      </c>
      <c r="D961" t="s">
        <v>1034</v>
      </c>
      <c r="E961" t="s">
        <v>19</v>
      </c>
      <c r="F961" t="s">
        <v>27</v>
      </c>
      <c r="G961">
        <v>14962</v>
      </c>
      <c r="H961">
        <v>12058</v>
      </c>
      <c r="I961">
        <v>336</v>
      </c>
      <c r="J961">
        <v>120</v>
      </c>
      <c r="K961">
        <v>1</v>
      </c>
      <c r="L961" t="s">
        <v>20</v>
      </c>
      <c r="M961" t="s">
        <v>21</v>
      </c>
      <c r="N961">
        <v>27020</v>
      </c>
      <c r="O961" t="s">
        <v>25</v>
      </c>
      <c r="P961" t="s">
        <v>23</v>
      </c>
    </row>
    <row r="962" spans="1:16" x14ac:dyDescent="0.3">
      <c r="A962" t="s">
        <v>992</v>
      </c>
      <c r="B962" t="s">
        <v>17</v>
      </c>
      <c r="C962" t="s">
        <v>27</v>
      </c>
      <c r="D962" t="s">
        <v>1033</v>
      </c>
      <c r="E962" t="s">
        <v>19</v>
      </c>
      <c r="F962" t="s">
        <v>27</v>
      </c>
      <c r="G962">
        <v>6151</v>
      </c>
      <c r="H962">
        <v>0</v>
      </c>
      <c r="I962">
        <v>500</v>
      </c>
      <c r="J962">
        <v>300</v>
      </c>
      <c r="K962">
        <v>0</v>
      </c>
      <c r="L962" t="s">
        <v>20</v>
      </c>
      <c r="M962" t="s">
        <v>53</v>
      </c>
      <c r="N962">
        <v>6151</v>
      </c>
      <c r="O962" t="s">
        <v>22</v>
      </c>
      <c r="P962" t="s">
        <v>32</v>
      </c>
    </row>
    <row r="963" spans="1:16" x14ac:dyDescent="0.3">
      <c r="A963" t="s">
        <v>993</v>
      </c>
      <c r="B963" t="s">
        <v>31</v>
      </c>
      <c r="C963" t="s">
        <v>18</v>
      </c>
      <c r="D963" t="s">
        <v>1032</v>
      </c>
      <c r="E963" t="s">
        <v>28</v>
      </c>
      <c r="F963" t="s">
        <v>27</v>
      </c>
      <c r="G963">
        <v>11343</v>
      </c>
      <c r="H963">
        <v>0</v>
      </c>
      <c r="I963">
        <v>111</v>
      </c>
      <c r="J963">
        <v>240</v>
      </c>
      <c r="K963">
        <v>0</v>
      </c>
      <c r="L963" t="s">
        <v>29</v>
      </c>
      <c r="M963" t="s">
        <v>21</v>
      </c>
      <c r="N963">
        <v>11343</v>
      </c>
      <c r="O963" t="s">
        <v>25</v>
      </c>
      <c r="P963" t="s">
        <v>32</v>
      </c>
    </row>
    <row r="964" spans="1:16" x14ac:dyDescent="0.3">
      <c r="A964" t="s">
        <v>994</v>
      </c>
      <c r="B964" t="s">
        <v>31</v>
      </c>
      <c r="C964" t="s">
        <v>18</v>
      </c>
      <c r="D964" t="s">
        <v>1035</v>
      </c>
      <c r="E964" t="s">
        <v>28</v>
      </c>
      <c r="F964" t="s">
        <v>27</v>
      </c>
      <c r="G964">
        <v>2955</v>
      </c>
      <c r="H964">
        <v>0</v>
      </c>
      <c r="I964">
        <v>438</v>
      </c>
      <c r="J964">
        <v>180</v>
      </c>
      <c r="K964">
        <v>1</v>
      </c>
      <c r="L964" t="s">
        <v>34</v>
      </c>
      <c r="M964" t="s">
        <v>53</v>
      </c>
      <c r="N964">
        <v>2955</v>
      </c>
      <c r="O964" t="s">
        <v>35</v>
      </c>
      <c r="P964" t="s">
        <v>23</v>
      </c>
    </row>
    <row r="965" spans="1:16" x14ac:dyDescent="0.3">
      <c r="A965" t="s">
        <v>995</v>
      </c>
      <c r="B965" t="s">
        <v>17</v>
      </c>
      <c r="C965" t="s">
        <v>27</v>
      </c>
      <c r="D965" t="s">
        <v>1034</v>
      </c>
      <c r="E965" t="s">
        <v>28</v>
      </c>
      <c r="F965" t="s">
        <v>18</v>
      </c>
      <c r="G965">
        <v>21447</v>
      </c>
      <c r="H965">
        <v>12861</v>
      </c>
      <c r="I965">
        <v>318</v>
      </c>
      <c r="J965">
        <v>360</v>
      </c>
      <c r="K965">
        <v>1</v>
      </c>
      <c r="L965" t="s">
        <v>20</v>
      </c>
      <c r="M965" t="s">
        <v>21</v>
      </c>
      <c r="N965">
        <v>34308</v>
      </c>
      <c r="O965" t="s">
        <v>25</v>
      </c>
      <c r="P965" t="s">
        <v>23</v>
      </c>
    </row>
    <row r="966" spans="1:16" x14ac:dyDescent="0.3">
      <c r="A966" t="s">
        <v>996</v>
      </c>
      <c r="B966" t="s">
        <v>31</v>
      </c>
      <c r="C966" t="s">
        <v>27</v>
      </c>
      <c r="D966" t="s">
        <v>1035</v>
      </c>
      <c r="E966" t="s">
        <v>19</v>
      </c>
      <c r="F966" t="s">
        <v>18</v>
      </c>
      <c r="G966">
        <v>19630</v>
      </c>
      <c r="H966">
        <v>6858</v>
      </c>
      <c r="I966">
        <v>597</v>
      </c>
      <c r="J966">
        <v>300</v>
      </c>
      <c r="K966">
        <v>1</v>
      </c>
      <c r="L966" t="s">
        <v>34</v>
      </c>
      <c r="M966" t="s">
        <v>21</v>
      </c>
      <c r="N966">
        <v>26488</v>
      </c>
      <c r="O966" t="s">
        <v>25</v>
      </c>
      <c r="P966" t="s">
        <v>23</v>
      </c>
    </row>
    <row r="967" spans="1:16" x14ac:dyDescent="0.3">
      <c r="A967" t="s">
        <v>997</v>
      </c>
      <c r="B967" t="s">
        <v>31</v>
      </c>
      <c r="C967" t="s">
        <v>18</v>
      </c>
      <c r="D967" t="s">
        <v>1035</v>
      </c>
      <c r="E967" t="s">
        <v>28</v>
      </c>
      <c r="F967" t="s">
        <v>18</v>
      </c>
      <c r="G967">
        <v>5821</v>
      </c>
      <c r="H967">
        <v>748</v>
      </c>
      <c r="I967">
        <v>330</v>
      </c>
      <c r="J967">
        <v>120</v>
      </c>
      <c r="K967">
        <v>0</v>
      </c>
      <c r="L967" t="s">
        <v>34</v>
      </c>
      <c r="M967" t="s">
        <v>53</v>
      </c>
      <c r="N967">
        <v>6569</v>
      </c>
      <c r="O967" t="s">
        <v>22</v>
      </c>
      <c r="P967" t="s">
        <v>32</v>
      </c>
    </row>
    <row r="968" spans="1:16" x14ac:dyDescent="0.3">
      <c r="A968" t="s">
        <v>998</v>
      </c>
      <c r="B968" t="s">
        <v>31</v>
      </c>
      <c r="C968" t="s">
        <v>27</v>
      </c>
      <c r="D968" t="s">
        <v>1035</v>
      </c>
      <c r="E968" t="s">
        <v>19</v>
      </c>
      <c r="F968" t="s">
        <v>27</v>
      </c>
      <c r="G968">
        <v>13352</v>
      </c>
      <c r="H968">
        <v>4903</v>
      </c>
      <c r="I968">
        <v>672</v>
      </c>
      <c r="J968">
        <v>120</v>
      </c>
      <c r="K968">
        <v>1</v>
      </c>
      <c r="L968" t="s">
        <v>34</v>
      </c>
      <c r="M968" t="s">
        <v>21</v>
      </c>
      <c r="N968">
        <v>18255</v>
      </c>
      <c r="O968" t="s">
        <v>25</v>
      </c>
      <c r="P968" t="s">
        <v>23</v>
      </c>
    </row>
    <row r="969" spans="1:16" x14ac:dyDescent="0.3">
      <c r="A969" t="s">
        <v>999</v>
      </c>
      <c r="B969" t="s">
        <v>31</v>
      </c>
      <c r="C969" t="s">
        <v>27</v>
      </c>
      <c r="D969" t="s">
        <v>1033</v>
      </c>
      <c r="E969" t="s">
        <v>28</v>
      </c>
      <c r="F969" t="s">
        <v>27</v>
      </c>
      <c r="G969">
        <v>2065</v>
      </c>
      <c r="H969">
        <v>0</v>
      </c>
      <c r="I969">
        <v>527</v>
      </c>
      <c r="J969">
        <v>120</v>
      </c>
      <c r="K969">
        <v>0</v>
      </c>
      <c r="L969" t="s">
        <v>29</v>
      </c>
      <c r="M969" t="s">
        <v>53</v>
      </c>
      <c r="N969">
        <v>2065</v>
      </c>
      <c r="O969" t="s">
        <v>35</v>
      </c>
      <c r="P969" t="s">
        <v>32</v>
      </c>
    </row>
    <row r="970" spans="1:16" x14ac:dyDescent="0.3">
      <c r="A970" t="s">
        <v>1000</v>
      </c>
      <c r="B970" t="s">
        <v>17</v>
      </c>
      <c r="C970" t="s">
        <v>27</v>
      </c>
      <c r="D970" t="s">
        <v>1034</v>
      </c>
      <c r="E970" t="s">
        <v>19</v>
      </c>
      <c r="F970" t="s">
        <v>27</v>
      </c>
      <c r="G970">
        <v>21499</v>
      </c>
      <c r="H970">
        <v>9534</v>
      </c>
      <c r="I970">
        <v>115</v>
      </c>
      <c r="J970">
        <v>300</v>
      </c>
      <c r="K970">
        <v>1</v>
      </c>
      <c r="L970" t="s">
        <v>29</v>
      </c>
      <c r="M970" t="s">
        <v>21</v>
      </c>
      <c r="N970">
        <v>31033</v>
      </c>
      <c r="O970" t="s">
        <v>25</v>
      </c>
      <c r="P970" t="s">
        <v>23</v>
      </c>
    </row>
    <row r="971" spans="1:16" x14ac:dyDescent="0.3">
      <c r="A971" t="s">
        <v>1001</v>
      </c>
      <c r="B971" t="s">
        <v>31</v>
      </c>
      <c r="C971" t="s">
        <v>27</v>
      </c>
      <c r="D971" t="s">
        <v>1033</v>
      </c>
      <c r="E971" t="s">
        <v>19</v>
      </c>
      <c r="F971" t="s">
        <v>18</v>
      </c>
      <c r="G971">
        <v>6313</v>
      </c>
      <c r="H971">
        <v>0</v>
      </c>
      <c r="I971">
        <v>288</v>
      </c>
      <c r="J971">
        <v>120</v>
      </c>
      <c r="K971">
        <v>1</v>
      </c>
      <c r="L971" t="s">
        <v>20</v>
      </c>
      <c r="M971" t="s">
        <v>21</v>
      </c>
      <c r="N971">
        <v>6313</v>
      </c>
      <c r="O971" t="s">
        <v>22</v>
      </c>
      <c r="P971" t="s">
        <v>23</v>
      </c>
    </row>
    <row r="972" spans="1:16" x14ac:dyDescent="0.3">
      <c r="A972" t="s">
        <v>1002</v>
      </c>
      <c r="B972" t="s">
        <v>31</v>
      </c>
      <c r="C972" t="s">
        <v>27</v>
      </c>
      <c r="D972" t="s">
        <v>1034</v>
      </c>
      <c r="E972" t="s">
        <v>19</v>
      </c>
      <c r="F972" t="s">
        <v>18</v>
      </c>
      <c r="G972">
        <v>24914</v>
      </c>
      <c r="H972">
        <v>4744</v>
      </c>
      <c r="I972">
        <v>66</v>
      </c>
      <c r="J972">
        <v>240</v>
      </c>
      <c r="K972">
        <v>1</v>
      </c>
      <c r="L972" t="s">
        <v>20</v>
      </c>
      <c r="M972" t="s">
        <v>21</v>
      </c>
      <c r="N972">
        <v>29658</v>
      </c>
      <c r="O972" t="s">
        <v>25</v>
      </c>
      <c r="P972" t="s">
        <v>23</v>
      </c>
    </row>
    <row r="973" spans="1:16" x14ac:dyDescent="0.3">
      <c r="A973" t="s">
        <v>1003</v>
      </c>
      <c r="B973" t="s">
        <v>17</v>
      </c>
      <c r="C973" t="s">
        <v>27</v>
      </c>
      <c r="D973" t="s">
        <v>1034</v>
      </c>
      <c r="E973" t="s">
        <v>19</v>
      </c>
      <c r="F973" t="s">
        <v>27</v>
      </c>
      <c r="G973">
        <v>5208</v>
      </c>
      <c r="H973">
        <v>0</v>
      </c>
      <c r="I973">
        <v>292</v>
      </c>
      <c r="J973">
        <v>180</v>
      </c>
      <c r="K973">
        <v>1</v>
      </c>
      <c r="L973" t="s">
        <v>29</v>
      </c>
      <c r="M973" t="s">
        <v>21</v>
      </c>
      <c r="N973">
        <v>5208</v>
      </c>
      <c r="O973" t="s">
        <v>22</v>
      </c>
      <c r="P973" t="s">
        <v>23</v>
      </c>
    </row>
    <row r="974" spans="1:16" x14ac:dyDescent="0.3">
      <c r="A974" t="s">
        <v>1004</v>
      </c>
      <c r="B974" t="s">
        <v>31</v>
      </c>
      <c r="C974" t="s">
        <v>18</v>
      </c>
      <c r="D974" t="s">
        <v>1035</v>
      </c>
      <c r="E974" t="s">
        <v>28</v>
      </c>
      <c r="F974" t="s">
        <v>18</v>
      </c>
      <c r="G974">
        <v>2309</v>
      </c>
      <c r="H974">
        <v>5850</v>
      </c>
      <c r="I974">
        <v>393</v>
      </c>
      <c r="J974">
        <v>300</v>
      </c>
      <c r="K974">
        <v>0</v>
      </c>
      <c r="L974" t="s">
        <v>29</v>
      </c>
      <c r="M974" t="s">
        <v>53</v>
      </c>
      <c r="N974">
        <v>8159</v>
      </c>
      <c r="O974" t="s">
        <v>22</v>
      </c>
      <c r="P974" t="s">
        <v>32</v>
      </c>
    </row>
    <row r="975" spans="1:16" x14ac:dyDescent="0.3">
      <c r="A975" t="s">
        <v>1005</v>
      </c>
      <c r="B975" t="s">
        <v>31</v>
      </c>
      <c r="C975" t="s">
        <v>27</v>
      </c>
      <c r="D975" t="s">
        <v>1034</v>
      </c>
      <c r="E975" t="s">
        <v>19</v>
      </c>
      <c r="F975" t="s">
        <v>27</v>
      </c>
      <c r="G975">
        <v>2961</v>
      </c>
      <c r="H975">
        <v>0</v>
      </c>
      <c r="I975">
        <v>655</v>
      </c>
      <c r="J975">
        <v>120</v>
      </c>
      <c r="K975">
        <v>1</v>
      </c>
      <c r="L975" t="s">
        <v>20</v>
      </c>
      <c r="M975" t="s">
        <v>53</v>
      </c>
      <c r="N975">
        <v>2961</v>
      </c>
      <c r="O975" t="s">
        <v>35</v>
      </c>
      <c r="P975" t="s">
        <v>23</v>
      </c>
    </row>
    <row r="976" spans="1:16" x14ac:dyDescent="0.3">
      <c r="A976" t="s">
        <v>1006</v>
      </c>
      <c r="B976" t="s">
        <v>31</v>
      </c>
      <c r="C976" t="s">
        <v>27</v>
      </c>
      <c r="D976" t="s">
        <v>1033</v>
      </c>
      <c r="E976" t="s">
        <v>28</v>
      </c>
      <c r="F976" t="s">
        <v>18</v>
      </c>
      <c r="G976">
        <v>23030</v>
      </c>
      <c r="H976">
        <v>0</v>
      </c>
      <c r="I976">
        <v>440</v>
      </c>
      <c r="J976">
        <v>120</v>
      </c>
      <c r="K976">
        <v>0</v>
      </c>
      <c r="L976" t="s">
        <v>20</v>
      </c>
      <c r="M976" t="s">
        <v>21</v>
      </c>
      <c r="N976">
        <v>23030</v>
      </c>
      <c r="O976" t="s">
        <v>25</v>
      </c>
      <c r="P976" t="s">
        <v>32</v>
      </c>
    </row>
    <row r="977" spans="1:16" x14ac:dyDescent="0.3">
      <c r="A977" t="s">
        <v>1007</v>
      </c>
      <c r="B977" t="s">
        <v>31</v>
      </c>
      <c r="C977" t="s">
        <v>18</v>
      </c>
      <c r="D977" t="s">
        <v>1034</v>
      </c>
      <c r="E977" t="s">
        <v>28</v>
      </c>
      <c r="F977" t="s">
        <v>27</v>
      </c>
      <c r="G977">
        <v>11885</v>
      </c>
      <c r="H977">
        <v>0</v>
      </c>
      <c r="I977">
        <v>639</v>
      </c>
      <c r="J977">
        <v>240</v>
      </c>
      <c r="K977">
        <v>0</v>
      </c>
      <c r="L977" t="s">
        <v>29</v>
      </c>
      <c r="M977" t="s">
        <v>21</v>
      </c>
      <c r="N977">
        <v>11885</v>
      </c>
      <c r="O977" t="s">
        <v>25</v>
      </c>
      <c r="P977" t="s">
        <v>32</v>
      </c>
    </row>
    <row r="978" spans="1:16" x14ac:dyDescent="0.3">
      <c r="A978" t="s">
        <v>1008</v>
      </c>
      <c r="B978" t="s">
        <v>17</v>
      </c>
      <c r="C978" t="s">
        <v>27</v>
      </c>
      <c r="D978" t="s">
        <v>1033</v>
      </c>
      <c r="E978" t="s">
        <v>28</v>
      </c>
      <c r="F978" t="s">
        <v>27</v>
      </c>
      <c r="G978">
        <v>5281</v>
      </c>
      <c r="H978">
        <v>0</v>
      </c>
      <c r="I978">
        <v>505</v>
      </c>
      <c r="J978">
        <v>300</v>
      </c>
      <c r="K978">
        <v>1</v>
      </c>
      <c r="L978" t="s">
        <v>29</v>
      </c>
      <c r="M978" t="s">
        <v>21</v>
      </c>
      <c r="N978">
        <v>5281</v>
      </c>
      <c r="O978" t="s">
        <v>22</v>
      </c>
      <c r="P978" t="s">
        <v>23</v>
      </c>
    </row>
    <row r="979" spans="1:16" x14ac:dyDescent="0.3">
      <c r="A979" t="s">
        <v>1009</v>
      </c>
      <c r="B979" t="s">
        <v>17</v>
      </c>
      <c r="C979" t="s">
        <v>27</v>
      </c>
      <c r="D979" t="s">
        <v>1035</v>
      </c>
      <c r="E979" t="s">
        <v>19</v>
      </c>
      <c r="F979" t="s">
        <v>27</v>
      </c>
      <c r="G979">
        <v>15224</v>
      </c>
      <c r="H979">
        <v>0</v>
      </c>
      <c r="I979">
        <v>600</v>
      </c>
      <c r="J979">
        <v>180</v>
      </c>
      <c r="K979">
        <v>1</v>
      </c>
      <c r="L979" t="s">
        <v>29</v>
      </c>
      <c r="M979" t="s">
        <v>21</v>
      </c>
      <c r="N979">
        <v>15224</v>
      </c>
      <c r="O979" t="s">
        <v>25</v>
      </c>
      <c r="P979" t="s">
        <v>23</v>
      </c>
    </row>
    <row r="980" spans="1:16" x14ac:dyDescent="0.3">
      <c r="A980" t="s">
        <v>1010</v>
      </c>
      <c r="B980" t="s">
        <v>17</v>
      </c>
      <c r="C980" t="s">
        <v>27</v>
      </c>
      <c r="D980" t="s">
        <v>1032</v>
      </c>
      <c r="E980" t="s">
        <v>28</v>
      </c>
      <c r="F980" t="s">
        <v>27</v>
      </c>
      <c r="G980">
        <v>5365</v>
      </c>
      <c r="H980">
        <v>1835</v>
      </c>
      <c r="I980">
        <v>481</v>
      </c>
      <c r="J980">
        <v>360</v>
      </c>
      <c r="K980">
        <v>0</v>
      </c>
      <c r="L980" t="s">
        <v>34</v>
      </c>
      <c r="M980" t="s">
        <v>53</v>
      </c>
      <c r="N980">
        <v>7200</v>
      </c>
      <c r="O980" t="s">
        <v>22</v>
      </c>
      <c r="P980" t="s">
        <v>32</v>
      </c>
    </row>
    <row r="981" spans="1:16" x14ac:dyDescent="0.3">
      <c r="A981" t="s">
        <v>1011</v>
      </c>
      <c r="B981" t="s">
        <v>31</v>
      </c>
      <c r="C981" t="s">
        <v>18</v>
      </c>
      <c r="D981" t="s">
        <v>1033</v>
      </c>
      <c r="E981" t="s">
        <v>28</v>
      </c>
      <c r="F981" t="s">
        <v>18</v>
      </c>
      <c r="G981">
        <v>6964</v>
      </c>
      <c r="H981">
        <v>2479</v>
      </c>
      <c r="I981">
        <v>319</v>
      </c>
      <c r="J981">
        <v>360</v>
      </c>
      <c r="K981">
        <v>1</v>
      </c>
      <c r="L981" t="s">
        <v>29</v>
      </c>
      <c r="M981" t="s">
        <v>21</v>
      </c>
      <c r="N981">
        <v>9443</v>
      </c>
      <c r="O981" t="s">
        <v>22</v>
      </c>
      <c r="P981" t="s">
        <v>23</v>
      </c>
    </row>
    <row r="982" spans="1:16" x14ac:dyDescent="0.3">
      <c r="A982" t="s">
        <v>1012</v>
      </c>
      <c r="B982" t="s">
        <v>17</v>
      </c>
      <c r="C982" t="s">
        <v>18</v>
      </c>
      <c r="D982" t="s">
        <v>1034</v>
      </c>
      <c r="E982" t="s">
        <v>28</v>
      </c>
      <c r="F982" t="s">
        <v>18</v>
      </c>
      <c r="G982">
        <v>24111</v>
      </c>
      <c r="H982">
        <v>0</v>
      </c>
      <c r="I982">
        <v>185</v>
      </c>
      <c r="J982">
        <v>360</v>
      </c>
      <c r="K982">
        <v>0</v>
      </c>
      <c r="L982" t="s">
        <v>29</v>
      </c>
      <c r="M982" t="s">
        <v>21</v>
      </c>
      <c r="N982">
        <v>24111</v>
      </c>
      <c r="O982" t="s">
        <v>25</v>
      </c>
      <c r="P982" t="s">
        <v>32</v>
      </c>
    </row>
    <row r="983" spans="1:16" x14ac:dyDescent="0.3">
      <c r="A983" t="s">
        <v>1013</v>
      </c>
      <c r="B983" t="s">
        <v>31</v>
      </c>
      <c r="C983" t="s">
        <v>27</v>
      </c>
      <c r="D983" t="s">
        <v>1033</v>
      </c>
      <c r="E983" t="s">
        <v>28</v>
      </c>
      <c r="F983" t="s">
        <v>18</v>
      </c>
      <c r="G983">
        <v>24830</v>
      </c>
      <c r="H983">
        <v>0</v>
      </c>
      <c r="I983">
        <v>394</v>
      </c>
      <c r="J983">
        <v>240</v>
      </c>
      <c r="K983">
        <v>1</v>
      </c>
      <c r="L983" t="s">
        <v>34</v>
      </c>
      <c r="M983" t="s">
        <v>21</v>
      </c>
      <c r="N983">
        <v>24830</v>
      </c>
      <c r="O983" t="s">
        <v>25</v>
      </c>
      <c r="P983" t="s">
        <v>23</v>
      </c>
    </row>
    <row r="984" spans="1:16" x14ac:dyDescent="0.3">
      <c r="A984" t="s">
        <v>1014</v>
      </c>
      <c r="B984" t="s">
        <v>17</v>
      </c>
      <c r="C984" t="s">
        <v>18</v>
      </c>
      <c r="D984" t="s">
        <v>1034</v>
      </c>
      <c r="E984" t="s">
        <v>28</v>
      </c>
      <c r="F984" t="s">
        <v>27</v>
      </c>
      <c r="G984">
        <v>14898</v>
      </c>
      <c r="H984">
        <v>10835</v>
      </c>
      <c r="I984">
        <v>496</v>
      </c>
      <c r="J984">
        <v>240</v>
      </c>
      <c r="K984">
        <v>1</v>
      </c>
      <c r="L984" t="s">
        <v>34</v>
      </c>
      <c r="M984" t="s">
        <v>21</v>
      </c>
      <c r="N984">
        <v>25733</v>
      </c>
      <c r="O984" t="s">
        <v>25</v>
      </c>
      <c r="P984" t="s">
        <v>23</v>
      </c>
    </row>
    <row r="985" spans="1:16" x14ac:dyDescent="0.3">
      <c r="A985" t="s">
        <v>1015</v>
      </c>
      <c r="B985" t="s">
        <v>17</v>
      </c>
      <c r="C985" t="s">
        <v>18</v>
      </c>
      <c r="D985" t="s">
        <v>1034</v>
      </c>
      <c r="E985" t="s">
        <v>19</v>
      </c>
      <c r="F985" t="s">
        <v>18</v>
      </c>
      <c r="G985">
        <v>20949</v>
      </c>
      <c r="H985">
        <v>10216</v>
      </c>
      <c r="I985">
        <v>514</v>
      </c>
      <c r="J985">
        <v>300</v>
      </c>
      <c r="K985">
        <v>1</v>
      </c>
      <c r="L985" t="s">
        <v>20</v>
      </c>
      <c r="M985" t="s">
        <v>21</v>
      </c>
      <c r="N985">
        <v>31165</v>
      </c>
      <c r="O985" t="s">
        <v>25</v>
      </c>
      <c r="P985" t="s">
        <v>23</v>
      </c>
    </row>
    <row r="986" spans="1:16" x14ac:dyDescent="0.3">
      <c r="A986" t="s">
        <v>1016</v>
      </c>
      <c r="B986" t="s">
        <v>31</v>
      </c>
      <c r="C986" t="s">
        <v>18</v>
      </c>
      <c r="D986" t="s">
        <v>1033</v>
      </c>
      <c r="E986" t="s">
        <v>28</v>
      </c>
      <c r="F986" t="s">
        <v>27</v>
      </c>
      <c r="G986">
        <v>12677</v>
      </c>
      <c r="H986">
        <v>1291</v>
      </c>
      <c r="I986">
        <v>342</v>
      </c>
      <c r="J986">
        <v>240</v>
      </c>
      <c r="K986">
        <v>1</v>
      </c>
      <c r="L986" t="s">
        <v>20</v>
      </c>
      <c r="M986" t="s">
        <v>21</v>
      </c>
      <c r="N986">
        <v>13968</v>
      </c>
      <c r="O986" t="s">
        <v>25</v>
      </c>
      <c r="P986" t="s">
        <v>23</v>
      </c>
    </row>
    <row r="987" spans="1:16" x14ac:dyDescent="0.3">
      <c r="A987" t="s">
        <v>1017</v>
      </c>
      <c r="B987" t="s">
        <v>17</v>
      </c>
      <c r="C987" t="s">
        <v>18</v>
      </c>
      <c r="D987" t="s">
        <v>1033</v>
      </c>
      <c r="E987" t="s">
        <v>28</v>
      </c>
      <c r="F987" t="s">
        <v>27</v>
      </c>
      <c r="G987">
        <v>20346</v>
      </c>
      <c r="H987">
        <v>14911</v>
      </c>
      <c r="I987">
        <v>151</v>
      </c>
      <c r="J987">
        <v>240</v>
      </c>
      <c r="K987">
        <v>1</v>
      </c>
      <c r="L987" t="s">
        <v>20</v>
      </c>
      <c r="M987" t="s">
        <v>21</v>
      </c>
      <c r="N987">
        <v>35257</v>
      </c>
      <c r="O987" t="s">
        <v>25</v>
      </c>
      <c r="P987" t="s">
        <v>23</v>
      </c>
    </row>
    <row r="988" spans="1:16" x14ac:dyDescent="0.3">
      <c r="A988" t="s">
        <v>1018</v>
      </c>
      <c r="B988" t="s">
        <v>31</v>
      </c>
      <c r="C988" t="s">
        <v>27</v>
      </c>
      <c r="D988" t="s">
        <v>1035</v>
      </c>
      <c r="E988" t="s">
        <v>28</v>
      </c>
      <c r="F988" t="s">
        <v>18</v>
      </c>
      <c r="G988">
        <v>7048</v>
      </c>
      <c r="H988">
        <v>5226</v>
      </c>
      <c r="I988">
        <v>670</v>
      </c>
      <c r="J988">
        <v>120</v>
      </c>
      <c r="K988">
        <v>0</v>
      </c>
      <c r="L988" t="s">
        <v>34</v>
      </c>
      <c r="M988" t="s">
        <v>21</v>
      </c>
      <c r="N988">
        <v>12274</v>
      </c>
      <c r="O988" t="s">
        <v>25</v>
      </c>
      <c r="P988" t="s">
        <v>32</v>
      </c>
    </row>
    <row r="989" spans="1:16" x14ac:dyDescent="0.3">
      <c r="A989" t="s">
        <v>1019</v>
      </c>
      <c r="B989" t="s">
        <v>31</v>
      </c>
      <c r="C989" t="s">
        <v>18</v>
      </c>
      <c r="D989" t="s">
        <v>1034</v>
      </c>
      <c r="E989" t="s">
        <v>19</v>
      </c>
      <c r="F989" t="s">
        <v>18</v>
      </c>
      <c r="G989">
        <v>2396</v>
      </c>
      <c r="H989">
        <v>0</v>
      </c>
      <c r="I989">
        <v>602</v>
      </c>
      <c r="J989">
        <v>360</v>
      </c>
      <c r="K989">
        <v>0</v>
      </c>
      <c r="L989" t="s">
        <v>20</v>
      </c>
      <c r="M989" t="s">
        <v>53</v>
      </c>
      <c r="N989">
        <v>2396</v>
      </c>
      <c r="O989" t="s">
        <v>35</v>
      </c>
      <c r="P989" t="s">
        <v>32</v>
      </c>
    </row>
    <row r="990" spans="1:16" x14ac:dyDescent="0.3">
      <c r="A990" t="s">
        <v>1020</v>
      </c>
      <c r="B990" t="s">
        <v>31</v>
      </c>
      <c r="C990" t="s">
        <v>18</v>
      </c>
      <c r="D990" t="s">
        <v>1032</v>
      </c>
      <c r="E990" t="s">
        <v>19</v>
      </c>
      <c r="F990" t="s">
        <v>27</v>
      </c>
      <c r="G990">
        <v>20215</v>
      </c>
      <c r="H990">
        <v>7487</v>
      </c>
      <c r="I990">
        <v>583</v>
      </c>
      <c r="J990">
        <v>180</v>
      </c>
      <c r="K990">
        <v>0</v>
      </c>
      <c r="L990" t="s">
        <v>29</v>
      </c>
      <c r="M990" t="s">
        <v>21</v>
      </c>
      <c r="N990">
        <v>27702</v>
      </c>
      <c r="O990" t="s">
        <v>25</v>
      </c>
      <c r="P990" t="s">
        <v>32</v>
      </c>
    </row>
    <row r="991" spans="1:16" x14ac:dyDescent="0.3">
      <c r="A991" t="s">
        <v>1021</v>
      </c>
      <c r="B991" t="s">
        <v>17</v>
      </c>
      <c r="C991" t="s">
        <v>18</v>
      </c>
      <c r="D991" t="s">
        <v>1035</v>
      </c>
      <c r="E991" t="s">
        <v>28</v>
      </c>
      <c r="F991" t="s">
        <v>27</v>
      </c>
      <c r="G991">
        <v>10119</v>
      </c>
      <c r="H991">
        <v>0</v>
      </c>
      <c r="I991">
        <v>335</v>
      </c>
      <c r="J991">
        <v>120</v>
      </c>
      <c r="K991">
        <v>0</v>
      </c>
      <c r="L991" t="s">
        <v>20</v>
      </c>
      <c r="M991" t="s">
        <v>21</v>
      </c>
      <c r="N991">
        <v>10119</v>
      </c>
      <c r="O991" t="s">
        <v>25</v>
      </c>
      <c r="P991" t="s">
        <v>32</v>
      </c>
    </row>
    <row r="992" spans="1:16" x14ac:dyDescent="0.3">
      <c r="A992" t="s">
        <v>1022</v>
      </c>
      <c r="B992" t="s">
        <v>17</v>
      </c>
      <c r="C992" t="s">
        <v>18</v>
      </c>
      <c r="D992" t="s">
        <v>1032</v>
      </c>
      <c r="E992" t="s">
        <v>19</v>
      </c>
      <c r="F992" t="s">
        <v>27</v>
      </c>
      <c r="G992">
        <v>10547</v>
      </c>
      <c r="H992">
        <v>0</v>
      </c>
      <c r="I992">
        <v>372</v>
      </c>
      <c r="J992">
        <v>120</v>
      </c>
      <c r="K992">
        <v>1</v>
      </c>
      <c r="L992" t="s">
        <v>34</v>
      </c>
      <c r="M992" t="s">
        <v>21</v>
      </c>
      <c r="N992">
        <v>10547</v>
      </c>
      <c r="O992" t="s">
        <v>25</v>
      </c>
      <c r="P992" t="s">
        <v>23</v>
      </c>
    </row>
    <row r="993" spans="1:16" x14ac:dyDescent="0.3">
      <c r="A993" t="s">
        <v>1023</v>
      </c>
      <c r="B993" t="s">
        <v>31</v>
      </c>
      <c r="C993" t="s">
        <v>18</v>
      </c>
      <c r="D993" t="s">
        <v>1034</v>
      </c>
      <c r="E993" t="s">
        <v>19</v>
      </c>
      <c r="F993" t="s">
        <v>18</v>
      </c>
      <c r="G993">
        <v>5985</v>
      </c>
      <c r="H993">
        <v>10106</v>
      </c>
      <c r="I993">
        <v>275</v>
      </c>
      <c r="J993">
        <v>180</v>
      </c>
      <c r="K993">
        <v>1</v>
      </c>
      <c r="L993" t="s">
        <v>20</v>
      </c>
      <c r="M993" t="s">
        <v>21</v>
      </c>
      <c r="N993">
        <v>16091</v>
      </c>
      <c r="O993" t="s">
        <v>25</v>
      </c>
      <c r="P993" t="s">
        <v>23</v>
      </c>
    </row>
    <row r="994" spans="1:16" x14ac:dyDescent="0.3">
      <c r="A994" t="s">
        <v>1024</v>
      </c>
      <c r="B994" t="s">
        <v>31</v>
      </c>
      <c r="C994" t="s">
        <v>18</v>
      </c>
      <c r="D994" t="s">
        <v>1035</v>
      </c>
      <c r="E994" t="s">
        <v>28</v>
      </c>
      <c r="F994" t="s">
        <v>18</v>
      </c>
      <c r="G994">
        <v>8006</v>
      </c>
      <c r="H994">
        <v>0</v>
      </c>
      <c r="I994">
        <v>578</v>
      </c>
      <c r="J994">
        <v>180</v>
      </c>
      <c r="K994">
        <v>1</v>
      </c>
      <c r="L994" t="s">
        <v>20</v>
      </c>
      <c r="M994" t="s">
        <v>21</v>
      </c>
      <c r="N994">
        <v>8006</v>
      </c>
      <c r="O994" t="s">
        <v>22</v>
      </c>
      <c r="P994" t="s">
        <v>23</v>
      </c>
    </row>
    <row r="995" spans="1:16" x14ac:dyDescent="0.3">
      <c r="A995" t="s">
        <v>1025</v>
      </c>
      <c r="B995" t="s">
        <v>31</v>
      </c>
      <c r="C995" t="s">
        <v>18</v>
      </c>
      <c r="D995" t="s">
        <v>1033</v>
      </c>
      <c r="E995" t="s">
        <v>19</v>
      </c>
      <c r="F995" t="s">
        <v>27</v>
      </c>
      <c r="G995">
        <v>24043</v>
      </c>
      <c r="H995">
        <v>4810</v>
      </c>
      <c r="I995">
        <v>696</v>
      </c>
      <c r="J995">
        <v>360</v>
      </c>
      <c r="K995">
        <v>1</v>
      </c>
      <c r="L995" t="s">
        <v>29</v>
      </c>
      <c r="M995" t="s">
        <v>21</v>
      </c>
      <c r="N995">
        <v>28853</v>
      </c>
      <c r="O995" t="s">
        <v>25</v>
      </c>
      <c r="P995" t="s">
        <v>23</v>
      </c>
    </row>
    <row r="996" spans="1:16" x14ac:dyDescent="0.3">
      <c r="A996" t="s">
        <v>1026</v>
      </c>
      <c r="B996" t="s">
        <v>31</v>
      </c>
      <c r="C996" t="s">
        <v>18</v>
      </c>
      <c r="D996" t="s">
        <v>1032</v>
      </c>
      <c r="E996" t="s">
        <v>19</v>
      </c>
      <c r="F996" t="s">
        <v>27</v>
      </c>
      <c r="G996">
        <v>23388</v>
      </c>
      <c r="H996">
        <v>8447</v>
      </c>
      <c r="I996">
        <v>695</v>
      </c>
      <c r="J996">
        <v>300</v>
      </c>
      <c r="K996">
        <v>1</v>
      </c>
      <c r="L996" t="s">
        <v>34</v>
      </c>
      <c r="M996" t="s">
        <v>21</v>
      </c>
      <c r="N996">
        <v>31835</v>
      </c>
      <c r="O996" t="s">
        <v>25</v>
      </c>
      <c r="P996" t="s">
        <v>23</v>
      </c>
    </row>
    <row r="997" spans="1:16" x14ac:dyDescent="0.3">
      <c r="A997" t="s">
        <v>1027</v>
      </c>
      <c r="B997" t="s">
        <v>31</v>
      </c>
      <c r="C997" t="s">
        <v>27</v>
      </c>
      <c r="D997" t="s">
        <v>1034</v>
      </c>
      <c r="E997" t="s">
        <v>19</v>
      </c>
      <c r="F997" t="s">
        <v>18</v>
      </c>
      <c r="G997">
        <v>10913</v>
      </c>
      <c r="H997">
        <v>7374</v>
      </c>
      <c r="I997">
        <v>383</v>
      </c>
      <c r="J997">
        <v>180</v>
      </c>
      <c r="K997">
        <v>1</v>
      </c>
      <c r="L997" t="s">
        <v>20</v>
      </c>
      <c r="M997" t="s">
        <v>21</v>
      </c>
      <c r="N997">
        <v>18287</v>
      </c>
      <c r="O997" t="s">
        <v>25</v>
      </c>
      <c r="P997" t="s">
        <v>23</v>
      </c>
    </row>
    <row r="998" spans="1:16" x14ac:dyDescent="0.3">
      <c r="A998" t="s">
        <v>1028</v>
      </c>
      <c r="B998" t="s">
        <v>17</v>
      </c>
      <c r="C998" t="s">
        <v>27</v>
      </c>
      <c r="D998" t="s">
        <v>1032</v>
      </c>
      <c r="E998" t="s">
        <v>19</v>
      </c>
      <c r="F998" t="s">
        <v>27</v>
      </c>
      <c r="G998">
        <v>24338</v>
      </c>
      <c r="H998">
        <v>0</v>
      </c>
      <c r="I998">
        <v>545</v>
      </c>
      <c r="J998">
        <v>300</v>
      </c>
      <c r="K998">
        <v>1</v>
      </c>
      <c r="L998" t="s">
        <v>34</v>
      </c>
      <c r="M998" t="s">
        <v>21</v>
      </c>
      <c r="N998">
        <v>24338</v>
      </c>
      <c r="O998" t="s">
        <v>25</v>
      </c>
      <c r="P998" t="s">
        <v>23</v>
      </c>
    </row>
    <row r="999" spans="1:16" x14ac:dyDescent="0.3">
      <c r="A999" t="s">
        <v>1029</v>
      </c>
      <c r="B999" t="s">
        <v>17</v>
      </c>
      <c r="C999" t="s">
        <v>18</v>
      </c>
      <c r="D999" t="s">
        <v>1032</v>
      </c>
      <c r="E999" t="s">
        <v>28</v>
      </c>
      <c r="F999" t="s">
        <v>18</v>
      </c>
      <c r="G999">
        <v>14902</v>
      </c>
      <c r="H999">
        <v>1496</v>
      </c>
      <c r="I999">
        <v>317</v>
      </c>
      <c r="J999">
        <v>240</v>
      </c>
      <c r="K999">
        <v>1</v>
      </c>
      <c r="L999" t="s">
        <v>29</v>
      </c>
      <c r="M999" t="s">
        <v>21</v>
      </c>
      <c r="N999">
        <v>16398</v>
      </c>
      <c r="O999" t="s">
        <v>25</v>
      </c>
      <c r="P999" t="s">
        <v>23</v>
      </c>
    </row>
    <row r="1000" spans="1:16" x14ac:dyDescent="0.3">
      <c r="A1000" t="s">
        <v>1030</v>
      </c>
      <c r="B1000" t="s">
        <v>31</v>
      </c>
      <c r="C1000" t="s">
        <v>27</v>
      </c>
      <c r="D1000" t="s">
        <v>1032</v>
      </c>
      <c r="E1000" t="s">
        <v>19</v>
      </c>
      <c r="F1000" t="s">
        <v>27</v>
      </c>
      <c r="G1000">
        <v>17409</v>
      </c>
      <c r="H1000">
        <v>0</v>
      </c>
      <c r="I1000">
        <v>397</v>
      </c>
      <c r="J1000">
        <v>120</v>
      </c>
      <c r="K1000">
        <v>1</v>
      </c>
      <c r="L1000" t="s">
        <v>29</v>
      </c>
      <c r="M1000" t="s">
        <v>21</v>
      </c>
      <c r="N1000">
        <v>17409</v>
      </c>
      <c r="O1000" t="s">
        <v>25</v>
      </c>
      <c r="P1000" t="s">
        <v>23</v>
      </c>
    </row>
    <row r="1001" spans="1:16" x14ac:dyDescent="0.3">
      <c r="A1001" t="s">
        <v>1031</v>
      </c>
      <c r="B1001" t="s">
        <v>17</v>
      </c>
      <c r="C1001" t="s">
        <v>18</v>
      </c>
      <c r="D1001" t="s">
        <v>1033</v>
      </c>
      <c r="E1001" t="s">
        <v>19</v>
      </c>
      <c r="F1001" t="s">
        <v>27</v>
      </c>
      <c r="G1001">
        <v>5734</v>
      </c>
      <c r="H1001">
        <v>0</v>
      </c>
      <c r="I1001">
        <v>71</v>
      </c>
      <c r="J1001">
        <v>300</v>
      </c>
      <c r="K1001">
        <v>1</v>
      </c>
      <c r="L1001" t="s">
        <v>34</v>
      </c>
      <c r="M1001" t="s">
        <v>21</v>
      </c>
      <c r="N1001">
        <v>5734</v>
      </c>
      <c r="O1001" t="s">
        <v>22</v>
      </c>
      <c r="P1001" t="s">
        <v>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18ED-6A44-4E2D-B4F8-64026B61F9E3}">
  <dimension ref="A1:L33"/>
  <sheetViews>
    <sheetView topLeftCell="H15" workbookViewId="0">
      <selection activeCell="J29" sqref="J29"/>
    </sheetView>
  </sheetViews>
  <sheetFormatPr defaultRowHeight="14.4" x14ac:dyDescent="0.3"/>
  <cols>
    <col min="1" max="1" width="14.6640625" bestFit="1" customWidth="1"/>
    <col min="2" max="2" width="15.5546875" bestFit="1" customWidth="1"/>
    <col min="3" max="3" width="8.44140625" bestFit="1" customWidth="1"/>
    <col min="4" max="4" width="10.5546875" bestFit="1" customWidth="1"/>
    <col min="9" max="9" width="14.88671875" bestFit="1" customWidth="1"/>
    <col min="10" max="10" width="15.5546875" bestFit="1" customWidth="1"/>
    <col min="11" max="11" width="8.44140625" bestFit="1" customWidth="1"/>
    <col min="12" max="12" width="10.5546875" bestFit="1" customWidth="1"/>
    <col min="13" max="13" width="4" bestFit="1" customWidth="1"/>
    <col min="14" max="14" width="10.5546875" bestFit="1" customWidth="1"/>
  </cols>
  <sheetData>
    <row r="1" spans="1:10" x14ac:dyDescent="0.3">
      <c r="A1" s="1" t="s">
        <v>1038</v>
      </c>
      <c r="B1" t="s">
        <v>1037</v>
      </c>
    </row>
    <row r="2" spans="1:10" x14ac:dyDescent="0.3">
      <c r="A2" s="2" t="s">
        <v>21</v>
      </c>
      <c r="B2" s="7">
        <v>903</v>
      </c>
    </row>
    <row r="3" spans="1:10" x14ac:dyDescent="0.3">
      <c r="A3" s="2" t="s">
        <v>53</v>
      </c>
      <c r="B3" s="7">
        <v>97</v>
      </c>
      <c r="H3" s="5"/>
      <c r="I3" s="5"/>
    </row>
    <row r="4" spans="1:10" x14ac:dyDescent="0.3">
      <c r="A4" s="2" t="s">
        <v>1036</v>
      </c>
      <c r="B4" s="7">
        <v>1000</v>
      </c>
      <c r="H4" s="2"/>
    </row>
    <row r="5" spans="1:10" x14ac:dyDescent="0.3">
      <c r="A5" s="6" t="s">
        <v>1039</v>
      </c>
      <c r="B5" s="6"/>
      <c r="H5" s="2"/>
      <c r="I5" s="1" t="s">
        <v>11</v>
      </c>
      <c r="J5" t="s">
        <v>1050</v>
      </c>
    </row>
    <row r="6" spans="1:10" x14ac:dyDescent="0.3">
      <c r="I6" s="2" t="s">
        <v>34</v>
      </c>
      <c r="J6" s="7">
        <v>129641</v>
      </c>
    </row>
    <row r="7" spans="1:10" x14ac:dyDescent="0.3">
      <c r="A7" s="2" t="s">
        <v>1042</v>
      </c>
      <c r="I7" s="2" t="s">
        <v>29</v>
      </c>
      <c r="J7" s="7">
        <v>127117</v>
      </c>
    </row>
    <row r="8" spans="1:10" x14ac:dyDescent="0.3">
      <c r="A8" s="1" t="s">
        <v>1037</v>
      </c>
      <c r="B8" s="1" t="s">
        <v>1040</v>
      </c>
      <c r="I8" s="2" t="s">
        <v>20</v>
      </c>
      <c r="J8" s="7">
        <v>123097</v>
      </c>
    </row>
    <row r="9" spans="1:10" x14ac:dyDescent="0.3">
      <c r="A9" s="1" t="s">
        <v>1041</v>
      </c>
      <c r="B9" t="s">
        <v>21</v>
      </c>
      <c r="C9" t="s">
        <v>53</v>
      </c>
      <c r="D9" t="s">
        <v>1036</v>
      </c>
      <c r="I9" s="2" t="s">
        <v>1036</v>
      </c>
      <c r="J9" s="7">
        <v>379855</v>
      </c>
    </row>
    <row r="10" spans="1:10" x14ac:dyDescent="0.3">
      <c r="A10" s="2" t="s">
        <v>31</v>
      </c>
      <c r="B10" s="7">
        <v>469</v>
      </c>
      <c r="C10" s="7">
        <v>53</v>
      </c>
      <c r="D10" s="7">
        <v>522</v>
      </c>
    </row>
    <row r="11" spans="1:10" x14ac:dyDescent="0.3">
      <c r="A11" s="2" t="s">
        <v>17</v>
      </c>
      <c r="B11" s="7">
        <v>434</v>
      </c>
      <c r="C11" s="7">
        <v>44</v>
      </c>
      <c r="D11" s="7">
        <v>478</v>
      </c>
    </row>
    <row r="12" spans="1:10" x14ac:dyDescent="0.3">
      <c r="A12" s="2" t="s">
        <v>1036</v>
      </c>
      <c r="B12" s="7">
        <v>903</v>
      </c>
      <c r="C12" s="7">
        <v>97</v>
      </c>
      <c r="D12" s="7">
        <v>1000</v>
      </c>
    </row>
    <row r="16" spans="1:10" x14ac:dyDescent="0.3">
      <c r="A16" t="s">
        <v>1043</v>
      </c>
      <c r="I16" t="s">
        <v>1051</v>
      </c>
    </row>
    <row r="17" spans="1:12" x14ac:dyDescent="0.3">
      <c r="A17" s="1" t="s">
        <v>1037</v>
      </c>
      <c r="B17" s="1" t="s">
        <v>1040</v>
      </c>
      <c r="I17" s="1" t="s">
        <v>1037</v>
      </c>
      <c r="J17" s="1" t="s">
        <v>1040</v>
      </c>
    </row>
    <row r="18" spans="1:12" x14ac:dyDescent="0.3">
      <c r="A18" s="1" t="s">
        <v>1038</v>
      </c>
      <c r="B18" t="s">
        <v>21</v>
      </c>
      <c r="C18" t="s">
        <v>53</v>
      </c>
      <c r="D18" t="s">
        <v>1036</v>
      </c>
      <c r="I18" s="1" t="s">
        <v>1052</v>
      </c>
      <c r="J18" t="s">
        <v>21</v>
      </c>
      <c r="K18" t="s">
        <v>53</v>
      </c>
      <c r="L18" t="s">
        <v>1036</v>
      </c>
    </row>
    <row r="19" spans="1:12" x14ac:dyDescent="0.3">
      <c r="A19" s="2" t="s">
        <v>19</v>
      </c>
      <c r="B19" s="7">
        <v>473</v>
      </c>
      <c r="C19" s="7">
        <v>43</v>
      </c>
      <c r="D19" s="7">
        <v>516</v>
      </c>
      <c r="I19" s="2">
        <v>0</v>
      </c>
      <c r="J19" s="7">
        <v>198</v>
      </c>
      <c r="K19" s="7">
        <v>49</v>
      </c>
      <c r="L19" s="7">
        <v>247</v>
      </c>
    </row>
    <row r="20" spans="1:12" x14ac:dyDescent="0.3">
      <c r="A20" s="2" t="s">
        <v>28</v>
      </c>
      <c r="B20" s="7">
        <v>430</v>
      </c>
      <c r="C20" s="7">
        <v>54</v>
      </c>
      <c r="D20" s="7">
        <v>484</v>
      </c>
      <c r="I20" s="2">
        <v>1</v>
      </c>
      <c r="J20" s="7">
        <v>705</v>
      </c>
      <c r="K20" s="7">
        <v>48</v>
      </c>
      <c r="L20" s="7">
        <v>753</v>
      </c>
    </row>
    <row r="21" spans="1:12" x14ac:dyDescent="0.3">
      <c r="A21" s="2" t="s">
        <v>1036</v>
      </c>
      <c r="B21" s="7">
        <v>903</v>
      </c>
      <c r="C21" s="7">
        <v>97</v>
      </c>
      <c r="D21" s="7">
        <v>1000</v>
      </c>
      <c r="I21" s="2" t="s">
        <v>1036</v>
      </c>
      <c r="J21" s="7">
        <v>903</v>
      </c>
      <c r="K21" s="7">
        <v>97</v>
      </c>
      <c r="L21" s="7">
        <v>1000</v>
      </c>
    </row>
    <row r="26" spans="1:12" x14ac:dyDescent="0.3">
      <c r="I26" t="s">
        <v>1053</v>
      </c>
    </row>
    <row r="27" spans="1:12" x14ac:dyDescent="0.3">
      <c r="I27" s="1" t="s">
        <v>1037</v>
      </c>
      <c r="J27" s="1" t="s">
        <v>1040</v>
      </c>
    </row>
    <row r="28" spans="1:12" x14ac:dyDescent="0.3">
      <c r="I28" s="1" t="s">
        <v>11</v>
      </c>
      <c r="J28" t="s">
        <v>21</v>
      </c>
      <c r="K28" t="s">
        <v>53</v>
      </c>
      <c r="L28" t="s">
        <v>1036</v>
      </c>
    </row>
    <row r="29" spans="1:12" x14ac:dyDescent="0.3">
      <c r="I29" s="2" t="s">
        <v>1034</v>
      </c>
      <c r="J29" s="3">
        <v>0.92468619246861927</v>
      </c>
      <c r="K29" s="3">
        <v>7.5313807531380755E-2</v>
      </c>
      <c r="L29" s="3">
        <v>1</v>
      </c>
    </row>
    <row r="30" spans="1:12" x14ac:dyDescent="0.3">
      <c r="I30" s="2" t="s">
        <v>1033</v>
      </c>
      <c r="J30" s="3">
        <v>0.87739463601532564</v>
      </c>
      <c r="K30" s="3">
        <v>0.12260536398467432</v>
      </c>
      <c r="L30" s="3">
        <v>1</v>
      </c>
    </row>
    <row r="31" spans="1:12" x14ac:dyDescent="0.3">
      <c r="I31" s="2" t="s">
        <v>1032</v>
      </c>
      <c r="J31" s="3">
        <v>0.92116182572614103</v>
      </c>
      <c r="K31" s="3">
        <v>7.8838174273858919E-2</v>
      </c>
      <c r="L31" s="3">
        <v>1</v>
      </c>
    </row>
    <row r="32" spans="1:12" x14ac:dyDescent="0.3">
      <c r="I32" s="2" t="s">
        <v>1035</v>
      </c>
      <c r="J32" s="3">
        <v>0.89189189189189189</v>
      </c>
      <c r="K32" s="3">
        <v>0.10810810810810811</v>
      </c>
      <c r="L32" s="3">
        <v>1</v>
      </c>
    </row>
    <row r="33" spans="9:12" x14ac:dyDescent="0.3">
      <c r="I33" s="2" t="s">
        <v>1036</v>
      </c>
      <c r="J33" s="3">
        <v>0.90300000000000002</v>
      </c>
      <c r="K33" s="3">
        <v>9.7000000000000003E-2</v>
      </c>
      <c r="L33" s="3">
        <v>1</v>
      </c>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153A-3938-45CD-A85D-C2BAA444AB62}">
  <dimension ref="A2:G8"/>
  <sheetViews>
    <sheetView zoomScale="77" zoomScaleNormal="77" workbookViewId="0">
      <selection activeCell="G8" sqref="G8"/>
    </sheetView>
  </sheetViews>
  <sheetFormatPr defaultRowHeight="14.4" x14ac:dyDescent="0.3"/>
  <cols>
    <col min="4" max="4" width="12" bestFit="1" customWidth="1"/>
  </cols>
  <sheetData>
    <row r="2" spans="1:7" x14ac:dyDescent="0.3">
      <c r="A2" s="6" t="s">
        <v>1044</v>
      </c>
      <c r="B2" s="6"/>
      <c r="C2" t="s">
        <v>1045</v>
      </c>
      <c r="F2" t="s">
        <v>1046</v>
      </c>
    </row>
    <row r="3" spans="1:7" x14ac:dyDescent="0.3">
      <c r="A3">
        <f>COUNTA(Bank_Loan_Analysis_Dataset[Loan_ID])</f>
        <v>1000</v>
      </c>
      <c r="C3">
        <f>COUNTIF(Bank_Loan_Analysis_Dataset[Loan_Status],"Approved")</f>
        <v>903</v>
      </c>
      <c r="F3">
        <f>COUNTIF(Bank_Loan_Analysis_Dataset[Loan_Status],"Rejected")</f>
        <v>97</v>
      </c>
    </row>
    <row r="7" spans="1:7" x14ac:dyDescent="0.3">
      <c r="A7" t="s">
        <v>1047</v>
      </c>
      <c r="D7" t="s">
        <v>1048</v>
      </c>
      <c r="G7" t="s">
        <v>1049</v>
      </c>
    </row>
    <row r="8" spans="1:7" x14ac:dyDescent="0.3">
      <c r="A8" s="3">
        <f>C3/A3</f>
        <v>0.90300000000000002</v>
      </c>
      <c r="D8" s="4">
        <f>SUM(Bank_Loan_Analysis_Dataset[Loan Amount])</f>
        <v>379855</v>
      </c>
      <c r="G8">
        <f>AVERAGE(Bank_Loan_Analysis_Dataset[Loan Amount])</f>
        <v>379.85500000000002</v>
      </c>
    </row>
  </sheetData>
  <mergeCells count="1">
    <mergeCell ref="A2:B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D855-6DB8-4079-B110-5366A6810031}">
  <dimension ref="A1"/>
  <sheetViews>
    <sheetView showGridLines="0" tabSelected="1" topLeftCell="G2" zoomScale="35" zoomScaleNormal="40" workbookViewId="0">
      <selection activeCell="AP14" sqref="AP14"/>
    </sheetView>
  </sheetViews>
  <sheetFormatPr defaultRowHeight="14.4" x14ac:dyDescent="0.3"/>
  <cols>
    <col min="18" max="18" width="9"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E0039B-5FFA-4070-AB89-CF5E9D3F64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Clean_Data</vt:lpstr>
      <vt:lpstr>PivotTables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918983327800</dc:creator>
  <cp:lastModifiedBy>918983327800</cp:lastModifiedBy>
  <dcterms:created xsi:type="dcterms:W3CDTF">2026-08-04T10:52:08Z</dcterms:created>
  <dcterms:modified xsi:type="dcterms:W3CDTF">2026-08-11T19:09:54Z</dcterms:modified>
</cp:coreProperties>
</file>